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microsoft.com/office/2011/relationships/webextensiontaskpanes" Target="xl/webextensions/taskpanes.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bacfloridabank-my.sharepoint.com/personal/rlaurent_bradescobank_com/Documents/Microsoft Teams Chat Files/"/>
    </mc:Choice>
  </mc:AlternateContent>
  <xr:revisionPtr revIDLastSave="48" documentId="13_ncr:1_{316C9743-409F-498F-9876-F5DA56EAFA1F}" xr6:coauthVersionLast="47" xr6:coauthVersionMax="47" xr10:uidLastSave="{8B481C64-9E63-49F8-BBDD-1C83AEEC1997}"/>
  <bookViews>
    <workbookView xWindow="-108" yWindow="-108" windowWidth="23256" windowHeight="12456" tabRatio="500" activeTab="2" xr2:uid="{00000000-000D-0000-FFFF-FFFF00000000}"/>
  </bookViews>
  <sheets>
    <sheet name="1. How To Use" sheetId="1" r:id="rId1"/>
    <sheet name="Lists (Config)" sheetId="2" r:id="rId2"/>
    <sheet name="2. Servers" sheetId="3" r:id="rId3"/>
    <sheet name="3. Databases" sheetId="4" r:id="rId4"/>
    <sheet name="4. Dashboard" sheetId="5" r:id="rId5"/>
    <sheet name="5. Questions" sheetId="7" r:id="rId6"/>
    <sheet name="6. Glossary" sheetId="6" r:id="rId7"/>
  </sheets>
  <definedNames>
    <definedName name="_xlnm._FilterDatabase" localSheetId="2" hidden="1">'2. Servers'!$A$1:$U$59</definedName>
    <definedName name="_xlnm._FilterDatabase" localSheetId="3" hidden="1">'3. Databases'!$A$1:$U$179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59" i="3" l="1" a="1"/>
  <c r="S59" i="3" s="1"/>
  <c r="R59" i="3"/>
  <c r="H59" i="3"/>
  <c r="G33" i="5"/>
  <c r="H33" i="5" s="1"/>
  <c r="G34" i="5"/>
  <c r="H34" i="5" s="1"/>
  <c r="G35" i="5"/>
  <c r="H35" i="5" s="1"/>
  <c r="G36" i="5"/>
  <c r="H36" i="5" s="1"/>
  <c r="G37" i="5"/>
  <c r="H37" i="5" s="1"/>
  <c r="G32" i="5"/>
  <c r="H32" i="5" s="1"/>
  <c r="D29" i="5"/>
  <c r="E29" i="5" s="1"/>
  <c r="D30" i="5"/>
  <c r="E30" i="5" s="1"/>
  <c r="D31" i="5"/>
  <c r="E31" i="5" s="1"/>
  <c r="D32" i="5"/>
  <c r="E32" i="5" s="1"/>
  <c r="D33" i="5"/>
  <c r="E33" i="5" s="1"/>
  <c r="D34" i="5"/>
  <c r="E34" i="5" s="1"/>
  <c r="D28" i="5"/>
  <c r="E28" i="5" s="1"/>
  <c r="B32" i="5"/>
  <c r="B31" i="5"/>
  <c r="B30" i="5"/>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7" i="3"/>
  <c r="H38" i="3"/>
  <c r="H39" i="3"/>
  <c r="H40" i="3"/>
  <c r="H41" i="3"/>
  <c r="H42" i="3"/>
  <c r="H43" i="3"/>
  <c r="H44" i="3"/>
  <c r="H45" i="3"/>
  <c r="H46" i="3"/>
  <c r="H47" i="3"/>
  <c r="H48" i="3"/>
  <c r="H49" i="3"/>
  <c r="H50" i="3"/>
  <c r="H51" i="3"/>
  <c r="H52" i="3"/>
  <c r="H53" i="3"/>
  <c r="H54" i="3"/>
  <c r="H55" i="3"/>
  <c r="H56" i="3"/>
  <c r="H57" i="3"/>
  <c r="H58" i="3"/>
  <c r="H36" i="3"/>
  <c r="B9" i="5"/>
  <c r="B8" i="5"/>
  <c r="B7" i="5"/>
  <c r="A13" i="5"/>
  <c r="B13" i="5" s="1"/>
  <c r="A14" i="5"/>
  <c r="B14" i="5" s="1"/>
  <c r="A15" i="5"/>
  <c r="B15" i="5" s="1"/>
  <c r="A16" i="5"/>
  <c r="B16" i="5" s="1"/>
  <c r="A17" i="5"/>
  <c r="B17" i="5" s="1"/>
  <c r="A12" i="5"/>
  <c r="B12" i="5" s="1"/>
  <c r="S56" i="3" a="1"/>
  <c r="S56" i="3" s="1"/>
  <c r="R56" i="3"/>
  <c r="S21" i="3" a="1"/>
  <c r="S21" i="3" s="1"/>
  <c r="R21" i="3"/>
  <c r="E8" i="5"/>
  <c r="E9" i="5"/>
  <c r="E10" i="5"/>
  <c r="E11" i="5"/>
  <c r="E12" i="5"/>
  <c r="E13" i="5"/>
  <c r="E14" i="5"/>
  <c r="E15" i="5"/>
  <c r="E16" i="5"/>
  <c r="E17" i="5"/>
  <c r="E18" i="5"/>
  <c r="E19" i="5"/>
  <c r="E20" i="5"/>
  <c r="E21" i="5"/>
  <c r="E7" i="5"/>
  <c r="H15" i="5" a="1"/>
  <c r="H15" i="5" s="1"/>
  <c r="E25" i="5"/>
  <c r="E24" i="5"/>
  <c r="G3" i="5"/>
  <c r="E3" i="5"/>
  <c r="A3" i="5"/>
  <c r="R19" i="3"/>
  <c r="S19" i="3" a="1"/>
  <c r="S19" i="3" s="1"/>
  <c r="R35" i="3"/>
  <c r="S35" i="3" a="1"/>
  <c r="S35" i="3" s="1"/>
  <c r="M3" i="5"/>
  <c r="K3" i="5" a="1"/>
  <c r="K3" i="5" s="1"/>
  <c r="S3" i="3" a="1"/>
  <c r="S3" i="3" s="1"/>
  <c r="S4" i="3" a="1"/>
  <c r="S4" i="3" s="1"/>
  <c r="S5" i="3" a="1"/>
  <c r="S5" i="3" s="1"/>
  <c r="S6" i="3" a="1"/>
  <c r="S6" i="3" s="1"/>
  <c r="S8" i="3" a="1"/>
  <c r="S8" i="3" s="1"/>
  <c r="S7" i="3" a="1"/>
  <c r="S7" i="3" s="1"/>
  <c r="S9" i="3" a="1"/>
  <c r="S9" i="3" s="1"/>
  <c r="S10" i="3" a="1"/>
  <c r="S10" i="3" s="1"/>
  <c r="S11" i="3" a="1"/>
  <c r="S11" i="3" s="1"/>
  <c r="S12" i="3" a="1"/>
  <c r="S12" i="3" s="1"/>
  <c r="S13" i="3" a="1"/>
  <c r="S13" i="3" s="1"/>
  <c r="S14" i="3" a="1"/>
  <c r="S14" i="3" s="1"/>
  <c r="S15" i="3" a="1"/>
  <c r="S15" i="3" s="1"/>
  <c r="S16" i="3" a="1"/>
  <c r="S16" i="3" s="1"/>
  <c r="S17" i="3" a="1"/>
  <c r="S17" i="3" s="1"/>
  <c r="S18" i="3" a="1"/>
  <c r="S18" i="3" s="1"/>
  <c r="S20" i="3" a="1"/>
  <c r="S20" i="3" s="1"/>
  <c r="S22" i="3" a="1"/>
  <c r="S22" i="3" s="1"/>
  <c r="S23" i="3" a="1"/>
  <c r="S23" i="3" s="1"/>
  <c r="S24" i="3" a="1"/>
  <c r="S24" i="3" s="1"/>
  <c r="S25" i="3" a="1"/>
  <c r="S25" i="3" s="1"/>
  <c r="S26" i="3" a="1"/>
  <c r="S26" i="3" s="1"/>
  <c r="S27" i="3" a="1"/>
  <c r="S27" i="3" s="1"/>
  <c r="S28" i="3" a="1"/>
  <c r="S28" i="3" s="1"/>
  <c r="S29" i="3" a="1"/>
  <c r="S29" i="3" s="1"/>
  <c r="S30" i="3" a="1"/>
  <c r="S30" i="3" s="1"/>
  <c r="S31" i="3" a="1"/>
  <c r="S31" i="3" s="1"/>
  <c r="S32" i="3" a="1"/>
  <c r="S32" i="3" s="1"/>
  <c r="S33" i="3" a="1"/>
  <c r="S33" i="3" s="1"/>
  <c r="S34" i="3" a="1"/>
  <c r="S34" i="3" s="1"/>
  <c r="S36" i="3" a="1"/>
  <c r="S36" i="3" s="1"/>
  <c r="S37" i="3" a="1"/>
  <c r="S37" i="3" s="1"/>
  <c r="S38" i="3" a="1"/>
  <c r="S38" i="3" s="1"/>
  <c r="S39" i="3" a="1"/>
  <c r="S39" i="3" s="1"/>
  <c r="S40" i="3" a="1"/>
  <c r="S40" i="3" s="1"/>
  <c r="S41" i="3" a="1"/>
  <c r="S41" i="3" s="1"/>
  <c r="S42" i="3" a="1"/>
  <c r="S42" i="3" s="1"/>
  <c r="S43" i="3" a="1"/>
  <c r="S43" i="3" s="1"/>
  <c r="S44" i="3" a="1"/>
  <c r="S44" i="3" s="1"/>
  <c r="S45" i="3" a="1"/>
  <c r="S45" i="3" s="1"/>
  <c r="S46" i="3" a="1"/>
  <c r="S46" i="3" s="1"/>
  <c r="S47" i="3" a="1"/>
  <c r="S47" i="3" s="1"/>
  <c r="S48" i="3" a="1"/>
  <c r="S48" i="3" s="1"/>
  <c r="S49" i="3" a="1"/>
  <c r="S49" i="3" s="1"/>
  <c r="S50" i="3" a="1"/>
  <c r="S50" i="3" s="1"/>
  <c r="S51" i="3" a="1"/>
  <c r="S51" i="3" s="1"/>
  <c r="S52" i="3" a="1"/>
  <c r="S52" i="3" s="1"/>
  <c r="S53" i="3" a="1"/>
  <c r="S53" i="3" s="1"/>
  <c r="S54" i="3" a="1"/>
  <c r="S54" i="3" s="1"/>
  <c r="S55" i="3" a="1"/>
  <c r="S55" i="3" s="1"/>
  <c r="S57" i="3" a="1"/>
  <c r="S57" i="3" s="1"/>
  <c r="S58" i="3" a="1"/>
  <c r="S58" i="3" s="1"/>
  <c r="R3" i="3"/>
  <c r="R4" i="3"/>
  <c r="R5" i="3"/>
  <c r="R6" i="3"/>
  <c r="R8" i="3"/>
  <c r="R7" i="3"/>
  <c r="R9" i="3"/>
  <c r="R10" i="3"/>
  <c r="R11" i="3"/>
  <c r="R12" i="3"/>
  <c r="R13" i="3"/>
  <c r="R14" i="3"/>
  <c r="R15" i="3"/>
  <c r="R16" i="3"/>
  <c r="R17" i="3"/>
  <c r="R18" i="3"/>
  <c r="R20" i="3"/>
  <c r="R22" i="3"/>
  <c r="R23" i="3"/>
  <c r="R24" i="3"/>
  <c r="R25" i="3"/>
  <c r="R26" i="3"/>
  <c r="R27" i="3"/>
  <c r="R28" i="3"/>
  <c r="R29" i="3"/>
  <c r="R30" i="3"/>
  <c r="R31" i="3"/>
  <c r="R32" i="3"/>
  <c r="R33" i="3"/>
  <c r="R34" i="3"/>
  <c r="R36" i="3"/>
  <c r="R37" i="3"/>
  <c r="R38" i="3"/>
  <c r="R39" i="3"/>
  <c r="R40" i="3"/>
  <c r="R41" i="3"/>
  <c r="R42" i="3"/>
  <c r="R43" i="3"/>
  <c r="R44" i="3"/>
  <c r="R45" i="3"/>
  <c r="R46" i="3"/>
  <c r="R47" i="3"/>
  <c r="R48" i="3"/>
  <c r="R49" i="3"/>
  <c r="R50" i="3"/>
  <c r="R51" i="3"/>
  <c r="R52" i="3"/>
  <c r="R53" i="3"/>
  <c r="R54" i="3"/>
  <c r="R55" i="3"/>
  <c r="R57" i="3"/>
  <c r="R58" i="3"/>
  <c r="S2" i="3" a="1"/>
  <c r="S2" i="3" s="1"/>
  <c r="R2" i="3"/>
  <c r="A25" i="5"/>
  <c r="B25" i="5" s="1"/>
  <c r="A24" i="5"/>
  <c r="B24" i="5" s="1"/>
  <c r="A23" i="5"/>
  <c r="B23" i="5" s="1"/>
  <c r="A22" i="5"/>
  <c r="B22" i="5" s="1"/>
  <c r="A21" i="5"/>
  <c r="B21" i="5" s="1"/>
  <c r="A20" i="5"/>
  <c r="B20" i="5" s="1"/>
  <c r="G29" i="5"/>
  <c r="H29" i="5" s="1"/>
  <c r="G28" i="5"/>
  <c r="H28" i="5" s="1"/>
  <c r="G27" i="5"/>
  <c r="H27" i="5" s="1"/>
  <c r="G26" i="5"/>
  <c r="H26" i="5" s="1"/>
  <c r="G25" i="5"/>
  <c r="H25" i="5" s="1"/>
  <c r="G24" i="5"/>
  <c r="H24" i="5" s="1"/>
  <c r="G23" i="5"/>
  <c r="H23" i="5" s="1"/>
  <c r="G22" i="5"/>
  <c r="H22" i="5" s="1"/>
  <c r="G21" i="5"/>
  <c r="H21" i="5" s="1"/>
  <c r="I3" i="5" l="1"/>
  <c r="H16" i="5"/>
  <c r="B28" i="5"/>
  <c r="B29" i="5"/>
  <c r="H8" i="5"/>
  <c r="H11" i="5"/>
  <c r="H10" i="5"/>
  <c r="H7" i="5"/>
  <c r="C3" i="5"/>
  <c r="H18" i="5"/>
  <c r="H17" i="5"/>
  <c r="H9" i="5" l="1"/>
  <c r="H1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<sst xmlns="http://schemas.openxmlformats.org/spreadsheetml/2006/main" count="3464" uniqueCount="1131">
  <si>
    <t>Value lists (edit here to update the dropdowns across all tabs)</t>
  </si>
  <si>
    <t>Environment</t>
  </si>
  <si>
    <t>Support Status</t>
  </si>
  <si>
    <t>Criticality</t>
  </si>
  <si>
    <t>HA / DR</t>
  </si>
  <si>
    <t>Recommendation</t>
  </si>
  <si>
    <t>Readiness</t>
  </si>
  <si>
    <t>Discovery Source</t>
  </si>
  <si>
    <t>In Scope (MSSQL)</t>
  </si>
  <si>
    <t>Production</t>
  </si>
  <si>
    <t>Supported</t>
  </si>
  <si>
    <t>Critical</t>
  </si>
  <si>
    <t>Always On AG</t>
  </si>
  <si>
    <t>Keep</t>
  </si>
  <si>
    <t>Ready</t>
  </si>
  <si>
    <t>Yes</t>
  </si>
  <si>
    <t>Staging/UAT</t>
  </si>
  <si>
    <t>Extended Support</t>
  </si>
  <si>
    <t>High</t>
  </si>
  <si>
    <t>Failover Cluster</t>
  </si>
  <si>
    <t>Upgrade</t>
  </si>
  <si>
    <t>Ready with Remediation</t>
  </si>
  <si>
    <t>Infrastructure Team</t>
  </si>
  <si>
    <t>No</t>
  </si>
  <si>
    <t>QA</t>
  </si>
  <si>
    <t>End of Support (EOS)</t>
  </si>
  <si>
    <t>Medium</t>
  </si>
  <si>
    <t>Mirroring</t>
  </si>
  <si>
    <t>Consolidate</t>
  </si>
  <si>
    <t>Needs Investigation</t>
  </si>
  <si>
    <t>Applications Team</t>
  </si>
  <si>
    <t>To confirm</t>
  </si>
  <si>
    <t>Development</t>
  </si>
  <si>
    <t>Unknown</t>
  </si>
  <si>
    <t>Low</t>
  </si>
  <si>
    <t>Log Shipping</t>
  </si>
  <si>
    <t>Migrate</t>
  </si>
  <si>
    <t>Not Recommended</t>
  </si>
  <si>
    <t>Technical Owner</t>
  </si>
  <si>
    <t>DR</t>
  </si>
  <si>
    <t>Pending validation</t>
  </si>
  <si>
    <t>None Detected</t>
  </si>
  <si>
    <t>Decommission</t>
  </si>
  <si>
    <t>Functional Owner</t>
  </si>
  <si>
    <t>Investigate</t>
  </si>
  <si>
    <t>Scope Framework Meeting</t>
  </si>
  <si>
    <t>Technical Documentation</t>
  </si>
  <si>
    <t>Other</t>
  </si>
  <si>
    <t>ServerID</t>
  </si>
  <si>
    <t>Server (Hostname)</t>
  </si>
  <si>
    <t>IP</t>
  </si>
  <si>
    <t>Location</t>
  </si>
  <si>
    <t>Network</t>
  </si>
  <si>
    <t>Engine / Product</t>
  </si>
  <si>
    <t>Edition</t>
  </si>
  <si>
    <t>Business Owner</t>
  </si>
  <si>
    <t>Notes</t>
  </si>
  <si>
    <t>SRV-001</t>
  </si>
  <si>
    <t>BACBFBSITE</t>
  </si>
  <si>
    <t>172.26.6.10
172.26.6.11
172.26.6.12</t>
  </si>
  <si>
    <t>Orlando</t>
  </si>
  <si>
    <t>DMZ</t>
  </si>
  <si>
    <t>MySQL Server 8.0</t>
  </si>
  <si>
    <t>-</t>
  </si>
  <si>
    <t>SRV-002</t>
  </si>
  <si>
    <t>BACBPTRANSDB1</t>
  </si>
  <si>
    <t>172.29.5.25
172.29.5.39</t>
  </si>
  <si>
    <t>NAP</t>
  </si>
  <si>
    <t>Microsoft SQL Server 2016 (64-bit)</t>
  </si>
  <si>
    <t>Standard</t>
  </si>
  <si>
    <t>SRV-003</t>
  </si>
  <si>
    <t>MongoDB 8.2.6 2008R2Plus SSL (64 bit)</t>
  </si>
  <si>
    <t>SRV-004</t>
  </si>
  <si>
    <t>SRV-005</t>
  </si>
  <si>
    <t>BACNAPIT</t>
  </si>
  <si>
    <t>10.198.5.190</t>
  </si>
  <si>
    <t>Server</t>
  </si>
  <si>
    <t>Microsoft SQL Server 2012 (64-bit)</t>
  </si>
  <si>
    <t>Express</t>
  </si>
  <si>
    <t>SRV-006</t>
  </si>
  <si>
    <t>BACSANSRV</t>
  </si>
  <si>
    <t>10.198.5.131
10.198.5.132</t>
  </si>
  <si>
    <t xml:space="preserve">Microsoft SQL Server 2017 (64-bit) </t>
  </si>
  <si>
    <t>SRV-007</t>
  </si>
  <si>
    <t xml:space="preserve">Microsoft SQL Server Compact 4.0 SP1 x64 ENU </t>
  </si>
  <si>
    <t>SRV-008</t>
  </si>
  <si>
    <t>BBFBDATAPARSER</t>
  </si>
  <si>
    <t>10.198.5.214</t>
  </si>
  <si>
    <t>SRV-009</t>
  </si>
  <si>
    <t>BBFBDBVIEW</t>
  </si>
  <si>
    <t>10.196.5.31</t>
  </si>
  <si>
    <t xml:space="preserve">Microsoft SQL Server 2019 (64-bit) </t>
  </si>
  <si>
    <t>SRV-010</t>
  </si>
  <si>
    <t>BBFBINTRANET</t>
  </si>
  <si>
    <t>10.198.5.141
10.198.5.140</t>
  </si>
  <si>
    <t>SRV-011</t>
  </si>
  <si>
    <t>BB-FW-AP-001</t>
  </si>
  <si>
    <t>10.20.100.25</t>
  </si>
  <si>
    <t>Coral Gables</t>
  </si>
  <si>
    <t>Microsoft SQL Server Compact 4.0 x64 ENU</t>
  </si>
  <si>
    <t>SRV-012</t>
  </si>
  <si>
    <t>bb-vl-ap-051</t>
  </si>
  <si>
    <t>10.198.5.26</t>
  </si>
  <si>
    <t>Mariadb-server</t>
  </si>
  <si>
    <t>SRV-013</t>
  </si>
  <si>
    <t>BB-VV-AP-004</t>
  </si>
  <si>
    <t>10.198.5.127</t>
  </si>
  <si>
    <t>SRV-014</t>
  </si>
  <si>
    <t>BB-VV-AP-009</t>
  </si>
  <si>
    <t>10.198.5.149</t>
  </si>
  <si>
    <t>SRV-015</t>
  </si>
  <si>
    <t>BB-VV-BD-001</t>
  </si>
  <si>
    <t>10.198.5.71</t>
  </si>
  <si>
    <t>SRV-016</t>
  </si>
  <si>
    <t>BB-VV-HV-001</t>
  </si>
  <si>
    <t>10.198.5.179</t>
  </si>
  <si>
    <t>SRV-017</t>
  </si>
  <si>
    <t>BB-VV-BD-004</t>
  </si>
  <si>
    <t>10.198.5.144</t>
  </si>
  <si>
    <t>SRV-018</t>
  </si>
  <si>
    <t>BB-VV-DC-001</t>
  </si>
  <si>
    <t>10.198.5.69
10.198.5.134
10.198.5.192</t>
  </si>
  <si>
    <t>Microsoft SQL Server Compact 4.0 SP1 x64 ENU</t>
  </si>
  <si>
    <t>SRV-019</t>
  </si>
  <si>
    <t>BFBASSIST</t>
  </si>
  <si>
    <t>10.198.5.104</t>
  </si>
  <si>
    <t>SRV-020</t>
  </si>
  <si>
    <t>SRV-021</t>
  </si>
  <si>
    <t>BB-VV-SG-002</t>
  </si>
  <si>
    <t>10.196.5.12</t>
  </si>
  <si>
    <t>SRV-022</t>
  </si>
  <si>
    <t>SRV-023</t>
  </si>
  <si>
    <t>BB-VV-WS-002</t>
  </si>
  <si>
    <t>172.29.5.42</t>
  </si>
  <si>
    <t>MySQL Server 8.4</t>
  </si>
  <si>
    <t>SRV-024</t>
  </si>
  <si>
    <t>BFBASSIST-UAT</t>
  </si>
  <si>
    <t>10.198.5.6</t>
  </si>
  <si>
    <t>SRV-025</t>
  </si>
  <si>
    <t xml:space="preserve">Microsoft SQL Server 2012 Express LocalDB </t>
  </si>
  <si>
    <t>SRV-026</t>
  </si>
  <si>
    <t>BFBNAPDB</t>
  </si>
  <si>
    <t>10.198.5.205</t>
  </si>
  <si>
    <t>SRV-027</t>
  </si>
  <si>
    <t>BFBNAPLC</t>
  </si>
  <si>
    <t>10.198.5.95</t>
  </si>
  <si>
    <t>SRV-028</t>
  </si>
  <si>
    <t>SRV-029</t>
  </si>
  <si>
    <t>BFBDSNAP</t>
  </si>
  <si>
    <t>PCI</t>
  </si>
  <si>
    <t>SRV-030</t>
  </si>
  <si>
    <t>BFBOFACAPI</t>
  </si>
  <si>
    <t>172.29.5.26</t>
  </si>
  <si>
    <t>SRV-031</t>
  </si>
  <si>
    <t>BFBFEDLINK</t>
  </si>
  <si>
    <t>10.198.5.128</t>
  </si>
  <si>
    <t>SRV-032</t>
  </si>
  <si>
    <t>BFBFEDLINKORL</t>
  </si>
  <si>
    <t>10.196.5.24</t>
  </si>
  <si>
    <t>SRV-033</t>
  </si>
  <si>
    <t>BFBJXSERVER1</t>
  </si>
  <si>
    <t>10.198.5.170
10.198.5.221</t>
  </si>
  <si>
    <t>Microsoft SQL Server Compact 3.5 SP2 ENU</t>
  </si>
  <si>
    <t>SRV-034</t>
  </si>
  <si>
    <t>BFBJXSERVER2</t>
  </si>
  <si>
    <t>10.198.5.171
10.198.5.222</t>
  </si>
  <si>
    <t>SRV-035</t>
  </si>
  <si>
    <t>BFBJXSERVERDB</t>
  </si>
  <si>
    <t>10.198.5.108</t>
  </si>
  <si>
    <t>SRV-036</t>
  </si>
  <si>
    <t>BFBJXWORKFLOWDB</t>
  </si>
  <si>
    <t>10.198.5.37</t>
  </si>
  <si>
    <t>SRV-037</t>
  </si>
  <si>
    <t>BFBKAS</t>
  </si>
  <si>
    <t>10.198.5.94</t>
  </si>
  <si>
    <t>SRV-038</t>
  </si>
  <si>
    <t>BFBORLDB</t>
  </si>
  <si>
    <t>10.196.5.205</t>
  </si>
  <si>
    <t>SRV-039</t>
  </si>
  <si>
    <t>BFBORLLC</t>
  </si>
  <si>
    <t>10.196.5.210</t>
  </si>
  <si>
    <t>SRV-040</t>
  </si>
  <si>
    <t>SRV-041</t>
  </si>
  <si>
    <t>BFBREPORTS</t>
  </si>
  <si>
    <t>10.198.5.189</t>
  </si>
  <si>
    <t>SRV-042</t>
  </si>
  <si>
    <t xml:space="preserve">Microsoft SQL Server 2016 LocalDB  </t>
  </si>
  <si>
    <t>SRV-043</t>
  </si>
  <si>
    <t>BFBOFACORL</t>
  </si>
  <si>
    <t>10.196.5.28</t>
  </si>
  <si>
    <t>SRV-044</t>
  </si>
  <si>
    <t>SRV-045</t>
  </si>
  <si>
    <t>SRV-046</t>
  </si>
  <si>
    <t>SRV-047</t>
  </si>
  <si>
    <t>UATSYNDB</t>
  </si>
  <si>
    <t>10.198.5.161</t>
  </si>
  <si>
    <t>SRV-048</t>
  </si>
  <si>
    <t>BFBSYNDB</t>
  </si>
  <si>
    <t>10.198.5.225</t>
  </si>
  <si>
    <t>SRV-049</t>
  </si>
  <si>
    <t>BFBWEBDEV</t>
  </si>
  <si>
    <t>10.196.5.92
10.196.5.90
10.196.5.91</t>
  </si>
  <si>
    <t>SRV-050</t>
  </si>
  <si>
    <t>MySQL Server 5.7</t>
  </si>
  <si>
    <t>SRV-051</t>
  </si>
  <si>
    <t>EBANCWEB1</t>
  </si>
  <si>
    <t>SRV-052</t>
  </si>
  <si>
    <t>DatabaseID</t>
  </si>
  <si>
    <t>ServerID (link to Tab 2)</t>
  </si>
  <si>
    <t>Database Name</t>
  </si>
  <si>
    <t>SQL Version (reported)</t>
  </si>
  <si>
    <t>State</t>
  </si>
  <si>
    <t>Size (MB)</t>
  </si>
  <si>
    <t>Last Backup</t>
  </si>
  <si>
    <t>Application / Functional Owner</t>
  </si>
  <si>
    <t>DB-001</t>
  </si>
  <si>
    <t>BAC_DM</t>
  </si>
  <si>
    <t>SQL Server 2008/R2</t>
  </si>
  <si>
    <t>OFFLINE</t>
  </si>
  <si>
    <t>D:</t>
  </si>
  <si>
    <t>DB-002</t>
  </si>
  <si>
    <t>DB-003</t>
  </si>
  <si>
    <t>BRAD_RISK_RPRT</t>
  </si>
  <si>
    <t>C:</t>
  </si>
  <si>
    <t>DB-004</t>
  </si>
  <si>
    <t>DB-005</t>
  </si>
  <si>
    <t>AXIOM</t>
  </si>
  <si>
    <t>SQL Server 2016</t>
  </si>
  <si>
    <t>ONLINE</t>
  </si>
  <si>
    <t>DB-006</t>
  </si>
  <si>
    <t>DB-007</t>
  </si>
  <si>
    <t>B2BTXWEBAPP</t>
  </si>
  <si>
    <t>DB-008</t>
  </si>
  <si>
    <t>DB-009</t>
  </si>
  <si>
    <t>BAC_BRAD_preprod</t>
  </si>
  <si>
    <t>DB-010</t>
  </si>
  <si>
    <t>DB-011</t>
  </si>
  <si>
    <t>BAC_BRAD_prod</t>
  </si>
  <si>
    <t>DB-012</t>
  </si>
  <si>
    <t>DB-013</t>
  </si>
  <si>
    <t>BAC_BRAD_stage</t>
  </si>
  <si>
    <t>DB-014</t>
  </si>
  <si>
    <t>DB-015</t>
  </si>
  <si>
    <t>BAC_DI</t>
  </si>
  <si>
    <t>DB-016</t>
  </si>
  <si>
    <t>DB-017</t>
  </si>
  <si>
    <t>BAC_DI_STAGE</t>
  </si>
  <si>
    <t>DB-018</t>
  </si>
  <si>
    <t>DB-019</t>
  </si>
  <si>
    <t>BACMasterDB</t>
  </si>
  <si>
    <t>DB-020</t>
  </si>
  <si>
    <t>DB-021</t>
  </si>
  <si>
    <t>BB_DocGen</t>
  </si>
  <si>
    <t>DB-022</t>
  </si>
  <si>
    <t>DB-023</t>
  </si>
  <si>
    <t>BBFB_WIRES</t>
  </si>
  <si>
    <t>DB-024</t>
  </si>
  <si>
    <t>DB-025</t>
  </si>
  <si>
    <t>BCP_Global_IBKR_prod</t>
  </si>
  <si>
    <t>DB-026</t>
  </si>
  <si>
    <t>DB-027</t>
  </si>
  <si>
    <t>BCP_Global_IBKR_stage</t>
  </si>
  <si>
    <t>DB-028</t>
  </si>
  <si>
    <t>DB-029</t>
  </si>
  <si>
    <t>BFB_MISC</t>
  </si>
  <si>
    <t>DB-030</t>
  </si>
  <si>
    <t>DB-031</t>
  </si>
  <si>
    <t>BFI_INTG_prod</t>
  </si>
  <si>
    <t>DB-032</t>
  </si>
  <si>
    <t>DB-033</t>
  </si>
  <si>
    <t>BFI_INTG_stage</t>
  </si>
  <si>
    <t>BRAD_RPRT</t>
  </si>
  <si>
    <t>DB-036</t>
  </si>
  <si>
    <t>BRAD_RPRT_dev</t>
  </si>
  <si>
    <t>DB-038</t>
  </si>
  <si>
    <t>DB-039</t>
  </si>
  <si>
    <t>BRAD_RPRT_stage</t>
  </si>
  <si>
    <t>DB-040</t>
  </si>
  <si>
    <t>DB-041</t>
  </si>
  <si>
    <t>Consolidated_Reports_Stage</t>
  </si>
  <si>
    <t>DB-042</t>
  </si>
  <si>
    <t>DB-043</t>
  </si>
  <si>
    <t>Consolidated_Statements</t>
  </si>
  <si>
    <t>DB-044</t>
  </si>
  <si>
    <t>DB-045</t>
  </si>
  <si>
    <t>Dev_BBDesk</t>
  </si>
  <si>
    <t>DB-046</t>
  </si>
  <si>
    <t>DB-047</t>
  </si>
  <si>
    <t>EAA_PROD</t>
  </si>
  <si>
    <t>DB-048</t>
  </si>
  <si>
    <t>DB-049</t>
  </si>
  <si>
    <t>EAA_staging</t>
  </si>
  <si>
    <t>DB-050</t>
  </si>
  <si>
    <t>DB-051</t>
  </si>
  <si>
    <t>EWF_DB</t>
  </si>
  <si>
    <t>DB-052</t>
  </si>
  <si>
    <t>DB-053</t>
  </si>
  <si>
    <t>INNOVA_ADI</t>
  </si>
  <si>
    <t>DB-054</t>
  </si>
  <si>
    <t>DB-055</t>
  </si>
  <si>
    <t>INSIDERS_NSF_PROD</t>
  </si>
  <si>
    <t>DB-056</t>
  </si>
  <si>
    <t>DB-057</t>
  </si>
  <si>
    <t>MFTFA_DB_PROD</t>
  </si>
  <si>
    <t>DB-058</t>
  </si>
  <si>
    <t>DB-059</t>
  </si>
  <si>
    <t>MFTFA_DB_Stage</t>
  </si>
  <si>
    <t>DB-060</t>
  </si>
  <si>
    <t>DB-061</t>
  </si>
  <si>
    <t>PERSHING_DATA_PROD</t>
  </si>
  <si>
    <t>DB-062</t>
  </si>
  <si>
    <t>DB-063</t>
  </si>
  <si>
    <t>PERSHING_DATA_STAGE</t>
  </si>
  <si>
    <t>DB-064</t>
  </si>
  <si>
    <t>DB-065</t>
  </si>
  <si>
    <t>DB-066</t>
  </si>
  <si>
    <t>DB-067</t>
  </si>
  <si>
    <t>RM_RO</t>
  </si>
  <si>
    <t>DB-072</t>
  </si>
  <si>
    <t>DB-073</t>
  </si>
  <si>
    <t>TRANSACT_prod</t>
  </si>
  <si>
    <t>DB-074</t>
  </si>
  <si>
    <t>DB-075</t>
  </si>
  <si>
    <t>TRANSACT_stage</t>
  </si>
  <si>
    <t>DB-076</t>
  </si>
  <si>
    <t>Executive Dashboard</t>
  </si>
  <si>
    <t>Microsoft SQL Server 2019 (64-bit)</t>
  </si>
  <si>
    <t>Microsoft SQL Server 2016 LocalDB</t>
  </si>
  <si>
    <t>Microsoft SQL Server 2012 Express LocalDB</t>
  </si>
  <si>
    <t>Microsoft SQL Server 2017 (64-bit)</t>
  </si>
  <si>
    <t>Use / Purpose</t>
  </si>
  <si>
    <t>Migration Status</t>
  </si>
  <si>
    <t>Pending analysis</t>
  </si>
  <si>
    <t>Consolidated: sum of the 2 source rows (data + log files) for this database in the original export.</t>
  </si>
  <si>
    <t>Lift and Shift</t>
  </si>
  <si>
    <t>Rehost</t>
  </si>
  <si>
    <t>Replatform</t>
  </si>
  <si>
    <t>Refactor</t>
  </si>
  <si>
    <t>Repurchase</t>
  </si>
  <si>
    <t>Retain</t>
  </si>
  <si>
    <t>Retire</t>
  </si>
  <si>
    <t>Blocked</t>
  </si>
  <si>
    <t>Yes/No</t>
  </si>
  <si>
    <t>Migration-Ready Statuses</t>
  </si>
  <si>
    <t>Server Access (Yes/No)</t>
  </si>
  <si>
    <t>Reviewed (Yes/No)</t>
  </si>
  <si>
    <t># Databases (auto)</t>
  </si>
  <si>
    <t># Migration-Ready DBs (auto)</t>
  </si>
  <si>
    <t>SQL Server Consolidation Readiness Assessment — How To Use</t>
  </si>
  <si>
    <t>NTT DATA | Bradesco Bank. Inventory and migration-tracking workbook. Tabs: 1) this guide, 2) Servers, 3) Databases, 4) Dashboard, 5) Glossary, plus 'Lists (Config)' for dropdown values.</t>
  </si>
  <si>
    <t>COLOR LEGEND</t>
  </si>
  <si>
    <t>Light yellow fill</t>
  </si>
  <si>
    <t>Data obtainable by TECHNICAL QUERY: run it against the instance with SSMS / SQL Server Management Studio, Management Tools or the technical inventory (e.g. Database Name, Compatibility Level, Version, State, Size, Last Backup, Drive, ServerID). Refresh from the source system, never type by assumption.</t>
  </si>
  <si>
    <t>White fill</t>
  </si>
  <si>
    <t>Data that must come from PEOPLE OR DOCUMENTS: technical owner, application owner, functional/technical documentation (e.g. Environment, Criticality, Owner, Use / Purpose, Migration Status, Recommendation, Notes).</t>
  </si>
  <si>
    <t>Light blue fill</t>
  </si>
  <si>
    <t>Pre-loaded real data or automatic formulas (e.g. '# Databases (auto)' on the Servers tab). Do not overwrite formulas.</t>
  </si>
  <si>
    <t>TAB 2 — SERVERS: WHAT GOES IN EACH COLUMN</t>
  </si>
  <si>
    <t>Unique ID generated by the template (SRV-001…). Mandatory. Never reuse or renumber once databases are linked to it.</t>
  </si>
  <si>
    <t>Server (Hostname) / IP / Location / Network / Engine / Edition</t>
  </si>
  <si>
    <t>Exported from the infrastructure inventory. Text as reported by the source; multiple IPs separated by line breaks. Correct only with confirmation from Infra.</t>
  </si>
  <si>
    <t>Automatic formula: 'Yes' when the engine contains 'Microsoft SQL Server'. Do not type over it.</t>
  </si>
  <si>
    <t>Environment / Support Status / Criticality / HA-DR</t>
  </si>
  <si>
    <t>Choose from the dropdown (values maintained in 'Lists (Config)'). Source: technical owner or documentation. Use 'Pending validation' if unknown.</t>
  </si>
  <si>
    <t>Technical Owner / Business Owner</t>
  </si>
  <si>
    <t>Full name or team distribution list. Source: application owner / CMDB. Mandatory before migration planning.</t>
  </si>
  <si>
    <t>Checklist: does the assessment team have working access to the server? Dropdown Yes/No. Mandatory.</t>
  </si>
  <si>
    <t>Checklist: has this server row been fully reviewed and validated? Dropdown Yes/No. Mandatory.</t>
  </si>
  <si>
    <t>Formula: counts rows on Tab 3 whose ServerID matches this server. Do not edit.</t>
  </si>
  <si>
    <t>Formula: counts this server's databases whose Migration Status is in the 'Migration-Ready Statuses' list on 'Lists (Config)' (Lift and Shift, Rehost, Replatform). Do not edit.</t>
  </si>
  <si>
    <t>TAB 3 — DATABASES: WHAT GOES IN EACH COLUMN</t>
  </si>
  <si>
    <t>Unique ID generated by the template (DB-001…). Mandatory. One row = one database (duplicates from the source export were consolidated; sizes summed).</t>
  </si>
  <si>
    <t>Dropdown with the ServerIDs from Tab 2. Mandatory to close the inventory: today it is blank because the source export did not state the hosting server. Fill with Infra/DBA (e.g. SELECT @@SERVERNAME per instance).</t>
  </si>
  <si>
    <t>Database Name / Compatibility Level / SQL Version / State / Size (MB) / Last Backup / Drive</t>
  </si>
  <si>
    <t>Technical facts from the SQL export (sys.databases, backup history). Size is the total of data + log files in MB. Last Backup format: yyyy-mm-dd hh:mm:ss.</t>
  </si>
  <si>
    <t>Environment / Criticality</t>
  </si>
  <si>
    <t>Dropdowns. Source: application owner / functional documentation. Mandatory for migration planning.</t>
  </si>
  <si>
    <t>Person or team accountable for the application using this database. Mandatory.</t>
  </si>
  <si>
    <t>Short free text describing what the database supports (e.g. 'Core wires processing', 'SSRS report catalog'). Source: application owner / functional documentation.</t>
  </si>
  <si>
    <t>Dropdown (see Glossary): Lift and Shift, Rehost, Replatform, Refactor, Repurchase, Retain, Retire, Pending analysis, Blocked. Default is 'Pending analysis'. Lift and Shift / Rehost / Replatform count as migration-ready.</t>
  </si>
  <si>
    <t>Recommendation / Discovery Source / Notes</t>
  </si>
  <si>
    <t>Recommendation: dropdown (Keep, Upgrade, Consolidate, Migrate, Decommission, Investigate). Discovery Source: where the row's information came from. Notes: free text, keep audit remarks here.</t>
  </si>
  <si>
    <t>EXAMPLE ROW (Tab 3)</t>
  </si>
  <si>
    <t>DB-011 | SRV-019 | BBFB_WIRES | 130 | SQL Server 2016 | ONLINE | 272 | 2024-12-17 4:14:33 | C: | Production | Critical | Payments Team | Wire transfers processing | Lift and Shift | Migrate | Technical Owner | Validated with DBA on 2026-07-14</t>
  </si>
  <si>
    <t>MAINTENANCE RULES</t>
  </si>
  <si>
    <t>Never delete rows with real data; use State = OFFLINE, Migration Status = Retire, or Notes to flag decommissioned items.</t>
  </si>
  <si>
    <t>One row per database and per server engine. Before adding a row, check the name does not already exist (no duplicates).</t>
  </si>
  <si>
    <t>New dropdown values are added only on 'Lists (Config)' — they propagate automatically to every tab.</t>
  </si>
  <si>
    <t>Do not overwrite formula columns (In Scope, # Databases, # Migration-Ready DBs, Dashboard). They recalculate automatically.</t>
  </si>
  <si>
    <t>Keep IDs stable and sequential (SRV-###, DB-###). If you add a database, use the next free DB number and pick its ServerID from the dropdown.</t>
  </si>
  <si>
    <t>Every figure obtained from a person or document should be traceable: set Discovery Source and add the date/contact in Notes.</t>
  </si>
  <si>
    <t>Weekly review: refresh the technical (yellow) columns from SSMS, then update the Yes/No checklists and Migration Status; the Dashboard updates itself.</t>
  </si>
  <si>
    <t>Total Servers</t>
  </si>
  <si>
    <t>Total Databases</t>
  </si>
  <si>
    <t>Total DB Size (GB)</t>
  </si>
  <si>
    <t>Migration-Ready DBs</t>
  </si>
  <si>
    <t>DBs Pending Analysis</t>
  </si>
  <si>
    <t>Migration Status Distribution (Databases)</t>
  </si>
  <si>
    <t>Server Review &amp; Access</t>
  </si>
  <si>
    <t>Reviewed — Yes</t>
  </si>
  <si>
    <t>Reviewed — No</t>
  </si>
  <si>
    <t>Reviewed — Pending</t>
  </si>
  <si>
    <t>Access — Yes</t>
  </si>
  <si>
    <t>Access — No</t>
  </si>
  <si>
    <t>Access — Pending</t>
  </si>
  <si>
    <t>Database State</t>
  </si>
  <si>
    <t>Databases per Server</t>
  </si>
  <si>
    <t>Databases linked to a server</t>
  </si>
  <si>
    <t>Max DBs on one server</t>
  </si>
  <si>
    <t>Avg DBs per hosting server</t>
  </si>
  <si>
    <t>Databases by Environment (fill col J on Tab 3)</t>
  </si>
  <si>
    <t>Installed Engine Distribution (Servers)</t>
  </si>
  <si>
    <t>Term</t>
  </si>
  <si>
    <t>Definition</t>
  </si>
  <si>
    <t>MSSQL / SQL Server</t>
  </si>
  <si>
    <t>Microsoft SQL Server, the relational database management system (RDBMS) in scope for this assessment. Versions found in this inventory: 2008/R2, 2012, 2016, 2017, 2019, plus Express/LocalDB/Compact variants.</t>
  </si>
  <si>
    <t>Instance</t>
  </si>
  <si>
    <t>An independent installation of the SQL Server engine on a server. One server can host several instances, each with its own databases, logins and configuration.</t>
  </si>
  <si>
    <t>Database</t>
  </si>
  <si>
    <t>A named collection of data files (data + log) managed by an instance. One row on Tab 3 = one database.</t>
  </si>
  <si>
    <t>Backup</t>
  </si>
  <si>
    <t>A copy of a database (Full, Differential, or Transaction Log) used to recover data. 'Last Backup' on Tab 3 comes from the backup history.</t>
  </si>
  <si>
    <t>Restore</t>
  </si>
  <si>
    <t>The process of recovering a database from backups to the same or a different server; standard method for Lift and Shift migrations.</t>
  </si>
  <si>
    <t>Migration approach: move the database as-is to the new platform without code changes. Counted as migration-ready.</t>
  </si>
  <si>
    <t>Same concept as Lift and Shift: change the hosting infrastructure (e.g. new VM) keeping engine and code unchanged. Migration-ready.</t>
  </si>
  <si>
    <t>Move to a different platform version/service (e.g. SQL 2008 → SQL 2019, or PaaS) with minimal changes. Migration-ready.</t>
  </si>
  <si>
    <t>Redesign application/database code to fit the target platform. Requires development effort; not migration-ready until done.</t>
  </si>
  <si>
    <t>Replace the application with a different product (e.g. SaaS); the database is retired or converted.</t>
  </si>
  <si>
    <t>Keep the database where it is for now (out of migration wave).</t>
  </si>
  <si>
    <t>Decommission: the database is no longer needed and will be shut down instead of migrated.</t>
  </si>
  <si>
    <t>Default state: the database has not yet been assessed to decide its migration approach.</t>
  </si>
  <si>
    <t>Assessment or migration cannot proceed (missing owner, unsupported dependency, access issue). Document the blocker in Notes.</t>
  </si>
  <si>
    <t>Person/team responsible for the server or instance at infrastructure/DBA level.</t>
  </si>
  <si>
    <t>Application Owner (Functional Owner)</t>
  </si>
  <si>
    <t>Person/team accountable for the business application that uses the database; source for Environment, Criticality, Use/Purpose.</t>
  </si>
  <si>
    <t>Dependency</t>
  </si>
  <si>
    <t>Any external element the database needs to work: linked servers, jobs, file shares, application connection strings, integrations.</t>
  </si>
  <si>
    <t>Compact / LocalDB / Express</t>
  </si>
  <si>
    <t>Free lightweight SQL Server editions embedded in applications. In scope for discovery, but usually migrated with the app rather than the DBA team.</t>
  </si>
  <si>
    <t>The vendor no longer provides patches (e.g. SQL Server 2008/R2). A key driver for migration priority.</t>
  </si>
  <si>
    <t>DMZ / PCI / Server (Network)</t>
  </si>
  <si>
    <t>Network zones from the infrastructure inventory: internet-facing (DMZ), card-data-scoped (PCI), or internal server LAN. Affects migration constraints.</t>
  </si>
  <si>
    <t>NAP / Orlando / Coral Gables (Location)</t>
  </si>
  <si>
    <t>Physical data-center locations reported in the server inventory.</t>
  </si>
  <si>
    <t>Where a piece of inventory information came from (SQL query, Infrastructure team, owner interview, documentation…). Keeps the inventory auditable.</t>
  </si>
  <si>
    <t>BB-VV-BD-006</t>
  </si>
  <si>
    <t>SRV-053</t>
  </si>
  <si>
    <t>10.198.5.148</t>
  </si>
  <si>
    <t>Microsoft SQL Server 2022 (64-bit)</t>
  </si>
  <si>
    <t>QSLAR_8546_2016</t>
  </si>
  <si>
    <t>SQL Server 2017</t>
  </si>
  <si>
    <t>QSLAR_8546_2017</t>
  </si>
  <si>
    <t>QSLAR_8546_2018</t>
  </si>
  <si>
    <t>QSLAR_8546_2019</t>
  </si>
  <si>
    <t>QSLAR_8546_2020</t>
  </si>
  <si>
    <t>QSLAR_8546_2021</t>
  </si>
  <si>
    <t>QSLAR_8546_2022</t>
  </si>
  <si>
    <t>QSLAR_8546_2023</t>
  </si>
  <si>
    <t>QSLAR_8546_2024</t>
  </si>
  <si>
    <t>QSLAR_8546_2025</t>
  </si>
  <si>
    <t>QSLAR_9999_2016</t>
  </si>
  <si>
    <t>QSLAR_9999_2017</t>
  </si>
  <si>
    <t>QSLAR_9999_2018</t>
  </si>
  <si>
    <t>QSLAR_9999_2019</t>
  </si>
  <si>
    <t>QSLAR_9999_2020</t>
  </si>
  <si>
    <t>QSLAR_9999_2021</t>
  </si>
  <si>
    <t>QSLAR_9999_2022</t>
  </si>
  <si>
    <t>QSLAR_9999_2023</t>
  </si>
  <si>
    <t>QSLAR_9999_2024</t>
  </si>
  <si>
    <t>QSLAR_9999_2025</t>
  </si>
  <si>
    <t>QSLAR_9999_2026</t>
  </si>
  <si>
    <t>QSMaster_8546</t>
  </si>
  <si>
    <t>QSMaster_9999</t>
  </si>
  <si>
    <t>BB_DATA</t>
  </si>
  <si>
    <t>SQL Server 2019</t>
  </si>
  <si>
    <t>BB_PROCESS_DATA</t>
  </si>
  <si>
    <t>DWConfiguration</t>
  </si>
  <si>
    <t>DWDiagnostics</t>
  </si>
  <si>
    <t>DWQueue</t>
  </si>
  <si>
    <t>BBFB_KATABAT_PROD</t>
  </si>
  <si>
    <t>JX-AppFab-Persistence</t>
  </si>
  <si>
    <t>JX-AppFab-Persistence2</t>
  </si>
  <si>
    <t>WFServer</t>
  </si>
  <si>
    <t>DB-077</t>
  </si>
  <si>
    <t>WFServerReporting</t>
  </si>
  <si>
    <t>DB-078</t>
  </si>
  <si>
    <t>DQP_BRONZE</t>
  </si>
  <si>
    <t>SQL Server 2022</t>
  </si>
  <si>
    <t>DB-079</t>
  </si>
  <si>
    <t>DQP_CONTROL</t>
  </si>
  <si>
    <t>DB-080</t>
  </si>
  <si>
    <t>DQP_GOLD</t>
  </si>
  <si>
    <t>DB-081</t>
  </si>
  <si>
    <t>DQP_LANDING</t>
  </si>
  <si>
    <t>DB-082</t>
  </si>
  <si>
    <t>DQP_SANDBOX</t>
  </si>
  <si>
    <t>DB-083</t>
  </si>
  <si>
    <t>DQP_SILVER</t>
  </si>
  <si>
    <t>Discovered from SSMS; compatibility level, size, backup and drive pending SQL query.</t>
  </si>
  <si>
    <t>192.168.105.10
169.254.149.78</t>
  </si>
  <si>
    <t>172.29.5.6
172.29.5.4
172.29.5.2
172.29.5.3
172.29.5.5
172.29.5.8</t>
  </si>
  <si>
    <t>Other Team</t>
  </si>
  <si>
    <t>ldf</t>
  </si>
  <si>
    <t>mdf</t>
  </si>
  <si>
    <t>I:\SQL Databases\AXIOM.mdf</t>
  </si>
  <si>
    <t>F:\SQL Logs\AXIOM_log.ldf</t>
  </si>
  <si>
    <t>7/14/2026 3:51</t>
  </si>
  <si>
    <t>I:\SQL Databases\B2BTXWEBAPP.mdf</t>
  </si>
  <si>
    <t>F:\SQL Logs\B2BTXWEBAPP_log.ldf</t>
  </si>
  <si>
    <t>I:\SQL Databases\BAC_BRAD_preprod.mdf</t>
  </si>
  <si>
    <t>F:\SQL Logs\BAC_BRAD_preprod_log.ldf</t>
  </si>
  <si>
    <t>I:\SQL Databases\BAC_BRAD_prod.mdf</t>
  </si>
  <si>
    <t>F:\SQL Logs\BAC_BRAD_prod_log.ldf</t>
  </si>
  <si>
    <t>I:\SQL Databases\BAC_BRAD_stage.mdf</t>
  </si>
  <si>
    <t>F:\SQL Logs\BAC_BRAD_stage_log.ldf</t>
  </si>
  <si>
    <t>I:\SQL Databases\BAC_DI.mdf</t>
  </si>
  <si>
    <t>F:\SQL Logs\BAC_DI_log.ldf</t>
  </si>
  <si>
    <t>I:\SQL Databases\BAC_DI_STAGE.mdf</t>
  </si>
  <si>
    <t>F:\SQL Logs\BAC_DI_STAGE_log.ldf</t>
  </si>
  <si>
    <t>I:\SQL Databases\BACMasterDB.mdf</t>
  </si>
  <si>
    <t>F:\SQL Logs\BACMasterDB_log.ldf</t>
  </si>
  <si>
    <t>D:\Program Files\Microsoft SQL Server\MSSQL15.MSSQLSERVER\MSSQL\DATA\BB_DATA.mdf</t>
  </si>
  <si>
    <t>E:\Program Files\Microsoft SQL Server\MSSQL15.MSSQLSERVER\MSSQL\Data\BB_DATA_log.ldf</t>
  </si>
  <si>
    <t>7/14/2026 3:42</t>
  </si>
  <si>
    <t>I:\SQL Databases\BB_DocGen.mdf</t>
  </si>
  <si>
    <t>F:\SQL Logs\BB_DocGen_log.ldf</t>
  </si>
  <si>
    <t>D:\Program Files\Microsoft SQL Server\MSSQL15.MSSQLSERVER\MSSQL\DATA\BB_PROCESS.mdf</t>
  </si>
  <si>
    <t>E:\Program Files\Microsoft SQL Server\MSSQL15.MSSQLSERVER\MSSQL\Data\BB_PROCESS_log.ldf</t>
  </si>
  <si>
    <t>7/14/2026 3:31</t>
  </si>
  <si>
    <t>C:\Program Files\Microsoft SQL Server\MSSQL13.MSSQLSERVER\MSSQL\DATA\BBFB_KATABAT_PROD.mdf</t>
  </si>
  <si>
    <t>C:\Program Files\Microsoft SQL Server\MSSQL13.MSSQLSERVER\MSSQL\DATA\BBFB_KATABAT_PROD_log.ldf</t>
  </si>
  <si>
    <t>C:\Program Files\Microsoft SQL Server\MSSQL13.MSSQLSERVER\MSSQL\DATA\BFB_WIRES.mdf</t>
  </si>
  <si>
    <t>C:\Program Files\Microsoft SQL Server\MSSQL13.MSSQLSERVER\MSSQL\DATA\BFB_WIRES_log.ldf</t>
  </si>
  <si>
    <t>I:\SQL Databases\BCP_Global_IBKR_prod.mdf</t>
  </si>
  <si>
    <t>F:\SQL Logs\BCP_Global_IBKR_prod_log.ldf</t>
  </si>
  <si>
    <t>I:\SQL Databases\BCP_Global_IBKR_stage.mdf</t>
  </si>
  <si>
    <t>F:\SQL Logs\BCP_Global_IBKR_stage_log.ldf</t>
  </si>
  <si>
    <t>I:\SQL Databases\BFB_MISC.mdf</t>
  </si>
  <si>
    <t>F:\SQL Logs\BFB_MISC_1.ldf</t>
  </si>
  <si>
    <t>I:\SQL Databases\BFI_INTG_prod.mdf</t>
  </si>
  <si>
    <t>F:\SQL Logs\BFI_INTG_prod_log.ldf</t>
  </si>
  <si>
    <t>I:\SQL Databases\BFI_INTG_stage.mdf</t>
  </si>
  <si>
    <t>F:\SQL Logs\BFI_INTG_stage_log.ldf</t>
  </si>
  <si>
    <t>I:\SQL Databases\BRAD_RPRT.mdf</t>
  </si>
  <si>
    <t>F:\SQL Logs\BRAD_RPRT.ldf</t>
  </si>
  <si>
    <t>I:\SQL Databases\BRAD_RPRT_dev.mdf</t>
  </si>
  <si>
    <t>F:\SQL Logs\[BRAD_RPRT_dev].ldf</t>
  </si>
  <si>
    <t>I:\SQL Databases\BRAD_RPRT_stage.mdf</t>
  </si>
  <si>
    <t>F:\SQL Logs\[BRAD_RPRT_stage].ldf</t>
  </si>
  <si>
    <t>I:\SQL Databases\Consolidated_Reports_Stage.mdf</t>
  </si>
  <si>
    <t>F:\SQL Logs\Consolidated_Reports_Stage_log.ldf</t>
  </si>
  <si>
    <t>I:\SQL Databases\Consolidated_Statements.mdf</t>
  </si>
  <si>
    <t>F:\SQL Logs\Consolidated_Statements_log.ldf</t>
  </si>
  <si>
    <t>I:\SQL Databases\Dev_BBDesk.mdf</t>
  </si>
  <si>
    <t>F:\SQL Logs\Dev_BBDesk_log.ldf</t>
  </si>
  <si>
    <t>E:\MSSQLSERVER\MSSQL\Data\DQP_BRONZE.mdf</t>
  </si>
  <si>
    <t>F:\MSSQLSERVER\MSSQL\Log\DQP_BRONZE_log.ldf</t>
  </si>
  <si>
    <t>7/14/2026 3:53</t>
  </si>
  <si>
    <t>E:\MSSQLSERVER\MSSQL\Data\DQP_CONTROL.mdf</t>
  </si>
  <si>
    <t>F:\MSSQLSERVER\MSSQL\Log\DQP_CONTROL_log.ldf</t>
  </si>
  <si>
    <t>E:\MSSQLSERVER\MSSQL\Data\DQP_GOLD.mdf</t>
  </si>
  <si>
    <t>F:\MSSQLSERVER\MSSQL\Log\DQP_GOLD_log.ldf</t>
  </si>
  <si>
    <t>E:\MSSQLSERVER\MSSQL\Data\DQP_LANDING.mdf</t>
  </si>
  <si>
    <t>F:\MSSQLSERVER\MSSQL\Log\DQP_LANDING_log.ldf</t>
  </si>
  <si>
    <t>E:\MSSQLSERVER\MSSQL\Data\DQP_SILVER.mdf</t>
  </si>
  <si>
    <t>F:\MSSQLSERVER\MSSQL\Log\DQP_SILVER_log.ldf</t>
  </si>
  <si>
    <t>I:\SQL Databases\EAA_PROD.mdf</t>
  </si>
  <si>
    <t>F:\SQL Logs\EAA_PROD_log.ldf</t>
  </si>
  <si>
    <t>I:\SQL Databases\EAA_staging.mdf</t>
  </si>
  <si>
    <t>F:\SQL Logs\EAA_staging_log.ldf</t>
  </si>
  <si>
    <t>I:\SQL Databases\WTDB.mdf</t>
  </si>
  <si>
    <t>F:\SQL Logs\WTDB_log.ldf</t>
  </si>
  <si>
    <t>I:\SQL Databases\INNOVA_ADI.mdf</t>
  </si>
  <si>
    <t>F:\SQL Logs\INNOVA_ADI_log.ldf</t>
  </si>
  <si>
    <t>I:\SQL Databases\INSIDERS_NSF_PROD.mdf</t>
  </si>
  <si>
    <t>F:\SQL Logs\INSIDERS_NSF_PROD_log.ldf</t>
  </si>
  <si>
    <t>E:\Data\JX-AppFab-Persistence.mdf</t>
  </si>
  <si>
    <t>E:\Log\JX-AppFab-Persistence_log.ldf</t>
  </si>
  <si>
    <t>7/13/2026 23:26</t>
  </si>
  <si>
    <t>I:\SQL Databases\MFTFA_DB_PROD.mdf</t>
  </si>
  <si>
    <t>F:\SQL Logs\MFTFA_DB_PROD_log.ldf</t>
  </si>
  <si>
    <t>I:\SQL Databases\MFTFA_DB_Stage.mdf</t>
  </si>
  <si>
    <t>F:\SQL Logs\MFTFA_DB_Stage_log.ldf</t>
  </si>
  <si>
    <t>I:\SQL Databases\PERSHING_DATA_PROD.mdf</t>
  </si>
  <si>
    <t>F:\SQL Logs\PERSHING_DATA_PROD_log.ldf</t>
  </si>
  <si>
    <t>I:\SQL Databases\PERSHING_DATA_STAGE.mdf</t>
  </si>
  <si>
    <t>F:\SQL Logs\PERSHING_DATA_STAGE_log.ldf</t>
  </si>
  <si>
    <t>I:\SQL Databases\TRANSACT.mdf</t>
  </si>
  <si>
    <t>F:\SQL Logs\TRANSACT_log.ldf</t>
  </si>
  <si>
    <t>I:\SQL Databases\TRANSACT_STAGE.mdf</t>
  </si>
  <si>
    <t>F:\SQL Logs\TRANSACT_STAGE_log.ldf</t>
  </si>
  <si>
    <t/>
  </si>
  <si>
    <t>DB-084</t>
  </si>
  <si>
    <t>SQL Server Access</t>
  </si>
  <si>
    <t>Linked Server SQL</t>
  </si>
  <si>
    <t>BAC_BRAD</t>
  </si>
  <si>
    <t>7/14/2026 4:00</t>
  </si>
  <si>
    <t>C:\Program Files\Microsoft SQL Server\MSSQL13.MSSQLSERVER\MSSQL\DATA\BAC_BRAD.mdf</t>
  </si>
  <si>
    <t>C:\Program Files\Microsoft SQL Server\MSSQL13.MSSQLSERVER\MSSQL\DATA\BAC_BRAD_log.ldf</t>
  </si>
  <si>
    <t>BAC_BRAD_frozzen</t>
  </si>
  <si>
    <t>C:\Program Files\Microsoft SQL Server\MSSQL13.MSSQLSERVER\MSSQL\DATA\BAC_BRAD_frozzen.mdf</t>
  </si>
  <si>
    <t>C:\Program Files\Microsoft SQL Server\MSSQL13.MSSQLSERVER\MSSQL\DATA\BAC_BRAD_frozzen_log.ldf</t>
  </si>
  <si>
    <t>BAC_BRAD_preprod_1</t>
  </si>
  <si>
    <t>C:\Program Files\Microsoft SQL Server\MSSQL13.MSSQLSERVER\MSSQL\DATA\BAC_BRAD_preprod_1</t>
  </si>
  <si>
    <t>C:\Program Files\Microsoft SQL Server\MSSQL13.MSSQLSERVER\MSSQL\DATA\BAC_BRAD_preprod_1_log</t>
  </si>
  <si>
    <t>BAC_BRAD_preprod_GO</t>
  </si>
  <si>
    <t>C:\Program Files\Microsoft SQL Server\MSSQL13.MSSQLSERVER\MSSQL\DATA\BAC_BRAD_preprod_GO</t>
  </si>
  <si>
    <t>C:\Program Files\Microsoft SQL Server\MSSQL13.MSSQLSERVER\MSSQL\DATA\BAC_BRAD_preprod_GO_log</t>
  </si>
  <si>
    <t>BAC_BRAD_preprod_HML</t>
  </si>
  <si>
    <t>C:\Program Files\Microsoft SQL Server\MSSQL13.MSSQLSERVER\MSSQL\DATA\BAC_BRAD_preprod_HML.mdf</t>
  </si>
  <si>
    <t>C:\Program Files\Microsoft SQL Server\MSSQL13.MSSQLSERVER\MSSQL\DATA\BAC_BRAD_preprod_HML_log.ldf</t>
  </si>
  <si>
    <t>BAC_BRAD_preprod_HML2</t>
  </si>
  <si>
    <t>C:\Program Files\Microsoft SQL Server\MSSQL13.MSSQLSERVER\MSSQL\DATA\BAC_BRAD_preprod_HML2</t>
  </si>
  <si>
    <t>C:\Program Files\Microsoft SQL Server\MSSQL13.MSSQLSERVER\MSSQL\DATA\BAC_BRAD_preprod_HML2_log</t>
  </si>
  <si>
    <t>BAC_BRAD_prod_TMP</t>
  </si>
  <si>
    <t>C:\Program Files\Microsoft SQL Server\MSSQL13.MSSQLSERVER\MSSQL\DATA\BAC_BRAD_prod</t>
  </si>
  <si>
    <t>C:\Program Files\Microsoft SQL Server\MSSQL13.MSSQLSERVER\MSSQL\DATA\BAC_BRAD_prod_log</t>
  </si>
  <si>
    <t>BAC_BRAD_stage_test4</t>
  </si>
  <si>
    <t>C:\Program Files\Microsoft SQL Server\MSSQL13.MSSQLSERVER\MSSQL\DATA\BAC_BRAD_stage_test4.mdf</t>
  </si>
  <si>
    <t>C:\Program Files\Microsoft SQL Server\MSSQL13.MSSQLSERVER\MSSQL\DATA\BAC_BRAD_stage_test4_log.ldf</t>
  </si>
  <si>
    <t>BAC_BRAD_stage_test5</t>
  </si>
  <si>
    <t>C:\Program Files\Microsoft SQL Server\MSSQL13.MSSQLSERVER\MSSQL\DATA\BAC_BRAD_stage_test5.mdf</t>
  </si>
  <si>
    <t>C:\Program Files\Microsoft SQL Server\MSSQL13.MSSQLSERVER\MSSQL\DATA\BAC_BRAD_stage_test5_log.ldf</t>
  </si>
  <si>
    <t>BAC_BRAD_stage2</t>
  </si>
  <si>
    <t>C:\Program Files\Microsoft SQL Server\MSSQL13.MSSQLSERVER\MSSQL\DATA\BAC_BRAD_stage2.mdf</t>
  </si>
  <si>
    <t>C:\Program Files\Microsoft SQL Server\MSSQL13.MSSQLSERVER\MSSQL\DATA\BAC_BRAD_stage2_log.ldf</t>
  </si>
  <si>
    <t>BAC_BRAD_test</t>
  </si>
  <si>
    <t>C:\Program Files\Microsoft SQL Server\MSSQL13.MSSQLSERVER\MSSQL\DATA\BAC_BRAD_test.mdf</t>
  </si>
  <si>
    <t>C:\Program Files\Microsoft SQL Server\MSSQL13.MSSQLSERVER\MSSQL\DATA\BAC_BRAD_test_log.ldf</t>
  </si>
  <si>
    <t>BAC_BRAD_test2</t>
  </si>
  <si>
    <t>C:\Program Files\Microsoft SQL Server\MSSQL13.MSSQLSERVER\MSSQL\DATA\BAC_BRAD_test2.mdf</t>
  </si>
  <si>
    <t>C:\Program Files\Microsoft SQL Server\MSSQL13.MSSQLSERVER\MSSQL\DATA\BAC_BRAD_test2_log.ldf</t>
  </si>
  <si>
    <t>BB_DATA_JH</t>
  </si>
  <si>
    <t>C:\Program Files\Microsoft SQL Server\MSSQL13.MSSQLSERVER\MSSQL\DATA\BB_DATA_JH_Data.mdf</t>
  </si>
  <si>
    <t>C:\Program Files\Microsoft SQL Server\MSSQL13.MSSQLSERVER\MSSQL\DATA\BB_DATA_JH_Log.ldf</t>
  </si>
  <si>
    <t>BB_DocGen_dev</t>
  </si>
  <si>
    <t>C:\Program Files\Microsoft SQL Server\MSSQL13.MSSQLSERVER\MSSQL\DATA\BB_DocGen_dev.mdf</t>
  </si>
  <si>
    <t>C:\Program Files\Microsoft SQL Server\MSSQL13.MSSQLSERVER\MSSQL\DATA\BB_DocGen_dev.ldf</t>
  </si>
  <si>
    <t>BB_DocGen_devtest1</t>
  </si>
  <si>
    <t>E:\docgen1.mdf</t>
  </si>
  <si>
    <t>E:\docgen_log1.ldf</t>
  </si>
  <si>
    <t>BB_DocGen_devtest2</t>
  </si>
  <si>
    <t>E:\docgen2.mdf</t>
  </si>
  <si>
    <t>E:\docgen_log2.ldf</t>
  </si>
  <si>
    <t>BB_DocGen_devtest3</t>
  </si>
  <si>
    <t>E:\docgen3.mdf</t>
  </si>
  <si>
    <t>E:\docgen_log3.ldf</t>
  </si>
  <si>
    <t>BB_DocGen_uat</t>
  </si>
  <si>
    <t>C:\Program Files\Microsoft SQL Server\MSSQL13.MSSQLSERVER\MSSQL\DATA\BB_DocGen_uat.mdf</t>
  </si>
  <si>
    <t>C:\Program Files\Microsoft SQL Server\MSSQL13.MSSQLSERVER\MSSQL\DATA\BB_DocGen_uat_log.ldf</t>
  </si>
  <si>
    <t>BBFB_KATABAT_UAT</t>
  </si>
  <si>
    <t>C:\Program Files\Microsoft SQL Server\MSSQL13.MSSQLSERVER\MSSQL\DATA\Katabat_Contacts.mdf</t>
  </si>
  <si>
    <t>C:\Program Files\Microsoft SQL Server\MSSQL13.MSSQLSERVER\MSSQL\DATA\Katabat_Contacts_log.ldf</t>
  </si>
  <si>
    <t>BCP_Global_IBKR_dev</t>
  </si>
  <si>
    <t>C:\Program Files\Microsoft SQL Server\MSSQL13.MSSQLSERVER\MSSQL\DATA\BCP_Global_IBKR_dev.mdf</t>
  </si>
  <si>
    <t>C:\Program Files\Microsoft SQL Server\MSSQL13.MSSQLSERVER\MSSQL\DATA\BCP_Global_IBKR_dev_log.ldf</t>
  </si>
  <si>
    <t>BCP_Global_IBKR_dev_TEMP</t>
  </si>
  <si>
    <t>C:\Program Files\Microsoft SQL Server\MSSQL13.MSSQLSERVER\MSSQL\Backup\BCP_Global_IBKR_dev_TEMP.mdf</t>
  </si>
  <si>
    <t>C:\Program Files\Microsoft SQL Server\MSSQL13.MSSQLSERVER\MSSQL\Backup\BCP_Global_IBKR_dev_TEMP_log.ldf</t>
  </si>
  <si>
    <t>BCP_Global_test</t>
  </si>
  <si>
    <t>C:\Program Files\Microsoft SQL Server\MSSQL13.MSSQLSERVER\MSSQL\DATA\BCP_Global_test.mdf</t>
  </si>
  <si>
    <t>C:\Program Files\Microsoft SQL Server\MSSQL13.MSSQLSERVER\MSSQL\DATA\BCP_Global_test_log.ldf</t>
  </si>
  <si>
    <t>BFI_RISK_ANALYSIS</t>
  </si>
  <si>
    <t>C:\Program Files\Microsoft SQL Server\MSSQL13.MSSQLSERVER\MSSQL\DATA\BFI_RISK_ANALYSIS.mdf</t>
  </si>
  <si>
    <t>C:\Program Files\Microsoft SQL Server\MSSQL13.MSSQLSERVER\MSSQL\DATA\BFI_RISK_ANALYSIS_log.ldf</t>
  </si>
  <si>
    <t>BFI_RISK_ANALYSIS_TW</t>
  </si>
  <si>
    <t>C:\Program Files\Microsoft SQL Server\MSSQL13.MSSQLSERVER\MSSQL\DATA\BFI_RISK_ANALYSIS_TW.mdf</t>
  </si>
  <si>
    <t>C:\Program Files\Microsoft SQL Server\MSSQL13.MSSQLSERVER\MSSQL\DATA\BFI_RISK_ANALYSIS_TW_log.ldf</t>
  </si>
  <si>
    <t>BRAD_RPRT_DEV</t>
  </si>
  <si>
    <t>C:\Program Files\Microsoft SQL Server\MSSQL13.MSSQLSERVER\MSSQL\DATA\BRAD_RPRT_DEV.mdf</t>
  </si>
  <si>
    <t>C:\Program Files\Microsoft SQL Server\MSSQL13.MSSQLSERVER\MSSQL\DATA\BRAD_RPRT_DEV.ldf</t>
  </si>
  <si>
    <t>CC_UNDRWRTNG</t>
  </si>
  <si>
    <t>C:\Program Files\Microsoft SQL Server\MSSQL13.MSSQLSERVER\MSSQL\DATA\CC_UNDERWRITING.mdf</t>
  </si>
  <si>
    <t>C:\Program Files\Microsoft SQL Server\MSSQL13.MSSQLSERVER\MSSQL\DATA\CC_UNDERWRITING_log.ldf</t>
  </si>
  <si>
    <t>Consolidated_Statements_Stage</t>
  </si>
  <si>
    <t>C:\Program Files\Microsoft SQL Server\MSSQL13.MSSQLSERVER\MSSQL\DATA\Consolidated_Statements_Stage.mdf</t>
  </si>
  <si>
    <t>C:\Program Files\Microsoft SQL Server\MSSQL13.MSSQLSERVER\MSSQL\DATA\Consolidated_Statements_Stage_log.ldf</t>
  </si>
  <si>
    <t>INSIDERS_NSF_DEV</t>
  </si>
  <si>
    <t>C:\Program Files\Microsoft SQL Server\MSSQL13.MSSQLSERVER\MSSQL\DATA\INSIDERNSF_DEV.mdf</t>
  </si>
  <si>
    <t>C:\Program Files\Microsoft SQL Server\MSSQL13.MSSQLSERVER\MSSQL\DATA\INSIDERNSF_DEV_log.ldf</t>
  </si>
  <si>
    <t>INVESTMENT_DB</t>
  </si>
  <si>
    <t>C:\Program Files\Microsoft SQL Server\MSSQL13.MSSQLSERVER\MSSQL\DATA\INVESTMENT_DB.mdf</t>
  </si>
  <si>
    <t>C:\Program Files\Microsoft SQL Server\MSSQL13.MSSQLSERVER\MSSQL\DATA\INVESTMENT_DB_log.ldf</t>
  </si>
  <si>
    <t>LIVELO_DEV</t>
  </si>
  <si>
    <t>C:\Program Files\Microsoft SQL Server\MSSQL13.MSSQLSERVER\MSSQL\DATA\LIBELO_DEV.mdf</t>
  </si>
  <si>
    <t>C:\Program Files\Microsoft SQL Server\MSSQL13.MSSQLSERVER\MSSQL\DATA\LIBELO_DEV_log.ldf</t>
  </si>
  <si>
    <t>MFTFA_DB_DEV</t>
  </si>
  <si>
    <t>C:\Program Files\Microsoft SQL Server\MSSQL13.MSSQLSERVER\MSSQL\DATA\MFTFA_DB_DEV.mdf</t>
  </si>
  <si>
    <t>C:\Program Files\Microsoft SQL Server\MSSQL13.MSSQLSERVER\MSSQL\DATA\MFTFA_DB_DEV_log.ldf</t>
  </si>
  <si>
    <t>OFFICER_DB</t>
  </si>
  <si>
    <t>C:\Program Files\Microsoft SQL Server\MSSQL13.MSSQLSERVER\MSSQL\DATA\OFFICER_DB.mdf</t>
  </si>
  <si>
    <t>C:\Program Files\Microsoft SQL Server\MSSQL13.MSSQLSERVER\MSSQL\DATA\OFFICER_DB_log.ldf</t>
  </si>
  <si>
    <t>PERSHING_DATA</t>
  </si>
  <si>
    <t>C:\Program Files\Microsoft SQL Server\MSSQL13.MSSQLSERVER\MSSQL\DATA\PERSHING_DATA.mdf</t>
  </si>
  <si>
    <t>C:\Program Files\Microsoft SQL Server\MSSQL13.MSSQLSERVER\MSSQL\DATA\PERSHING_DATA_log.ldf</t>
  </si>
  <si>
    <t>srv_account_opening_DEV</t>
  </si>
  <si>
    <t>C:\Program Files\Microsoft SQL Server\MSSQL13.MSSQLSERVER\MSSQL\DATA\srv_account_opening_DEV.mdf</t>
  </si>
  <si>
    <t>C:\Program Files\Microsoft SQL Server\MSSQL13.MSSQLSERVER\MSSQL\DATA\srv_account_opening_DEV_log.ldf</t>
  </si>
  <si>
    <t>srv_account_opening_UAT</t>
  </si>
  <si>
    <t>C:\Program Files\Microsoft SQL Server\MSSQL13.MSSQLSERVER\MSSQL\DATA\srv_account_opening_UAT.mdf</t>
  </si>
  <si>
    <t>C:\Program Files\Microsoft SQL Server\MSSQL13.MSSQLSERVER\MSSQL\DATA\srv_account_opening_UAT_log.ldf</t>
  </si>
  <si>
    <t>SYNERGY_DOCUMENTS_DEV</t>
  </si>
  <si>
    <t>C:\Program Files\Microsoft SQL Server\MSSQL13.MSSQLSERVER\MSSQL\DATA\SYNERGY_DOCUMENTS_DEV.mdf</t>
  </si>
  <si>
    <t>C:\Program Files\Microsoft SQL Server\MSSQL13.MSSQLSERVER\MSSQL\DATA\SYNERGY_DOCUMENTS_DEV_log.ldf</t>
  </si>
  <si>
    <t>TEMP_BCP</t>
  </si>
  <si>
    <t>C:\Program Files\Microsoft SQL Server\MSSQL13.MSSQLSERVER\MSSQL\DATA\TEMP_BCP.mdf</t>
  </si>
  <si>
    <t>C:\Program Files\Microsoft SQL Server\MSSQL13.MSSQLSERVER\MSSQL\DATA\TEMP_BCP_log.ldf</t>
  </si>
  <si>
    <t>TestDatabase</t>
  </si>
  <si>
    <t>F:\SQL Databases\TestDatabase.mdf</t>
  </si>
  <si>
    <t>L:\SQL Logs\TestDatabase_log.ldf</t>
  </si>
  <si>
    <t>TMP_TEST_DB</t>
  </si>
  <si>
    <t>C:\Program Files\Microsoft SQL Server\MSSQL13.MSSQLSERVER\MSSQL\DATA\TMP_TEST_DB.mdf</t>
  </si>
  <si>
    <t>C:\Program Files\Microsoft SQL Server\MSSQL13.MSSQLSERVER\MSSQL\DATA\TMP_TEST_DB_log.ldf</t>
  </si>
  <si>
    <t>TRANSACT</t>
  </si>
  <si>
    <t>C:\Program Files\Microsoft SQL Server\MSSQL13.MSSQLSERVER\MSSQL\DATA\TRANSACT_STAGE.mdf</t>
  </si>
  <si>
    <t>C:\Program Files\Microsoft SQL Server\MSSQL13.MSSQLSERVER\MSSQL\DATA\TRANSACT_STAGE_log.ldf</t>
  </si>
  <si>
    <t>DB-085</t>
  </si>
  <si>
    <t>DB-086</t>
  </si>
  <si>
    <t>DB-087</t>
  </si>
  <si>
    <t>DB-088</t>
  </si>
  <si>
    <t>DB-089</t>
  </si>
  <si>
    <t>DB-090</t>
  </si>
  <si>
    <t>DB-091</t>
  </si>
  <si>
    <t>DB-092</t>
  </si>
  <si>
    <t>DB-093</t>
  </si>
  <si>
    <t>DB-094</t>
  </si>
  <si>
    <t>DB-095</t>
  </si>
  <si>
    <t>DB-096</t>
  </si>
  <si>
    <t>DB-097</t>
  </si>
  <si>
    <t>DB-098</t>
  </si>
  <si>
    <t>DB-099</t>
  </si>
  <si>
    <t>DB-100</t>
  </si>
  <si>
    <t>DB-101</t>
  </si>
  <si>
    <t>DB-102</t>
  </si>
  <si>
    <t>DB-103</t>
  </si>
  <si>
    <t>DB-104</t>
  </si>
  <si>
    <t>DB-105</t>
  </si>
  <si>
    <t>DB-106</t>
  </si>
  <si>
    <t>DB-107</t>
  </si>
  <si>
    <t>DB-108</t>
  </si>
  <si>
    <t>DB-109</t>
  </si>
  <si>
    <t>DB-110</t>
  </si>
  <si>
    <t>DB-111</t>
  </si>
  <si>
    <t>DB-112</t>
  </si>
  <si>
    <t>DB-113</t>
  </si>
  <si>
    <t>DB-114</t>
  </si>
  <si>
    <t>DB-115</t>
  </si>
  <si>
    <t>DB-116</t>
  </si>
  <si>
    <t>DB-117</t>
  </si>
  <si>
    <t>DB-118</t>
  </si>
  <si>
    <t>DB-119</t>
  </si>
  <si>
    <t>DB-120</t>
  </si>
  <si>
    <t>DB-121</t>
  </si>
  <si>
    <t>DB-122</t>
  </si>
  <si>
    <t>DB-123</t>
  </si>
  <si>
    <t>BB-VV-BD-005</t>
  </si>
  <si>
    <t>SRV-054</t>
  </si>
  <si>
    <t>DigitalBanking_PROD</t>
  </si>
  <si>
    <t>DB-124</t>
  </si>
  <si>
    <t>7/14/2026 4:04</t>
  </si>
  <si>
    <t>D:\MSSQLSERVER\MSSQL\Data\DigitalBanking_PROD.mdf</t>
  </si>
  <si>
    <t>E:\MSSQLSERVER\MSSQL\Log\DigitalBanking_PROD_log.ldf</t>
  </si>
  <si>
    <t>ALERT_FILE_DB</t>
  </si>
  <si>
    <t>ASSIST_IMP_RPTS</t>
  </si>
  <si>
    <t>LIVELO</t>
  </si>
  <si>
    <t>MISC</t>
  </si>
  <si>
    <t>7/14/2026 3:17</t>
  </si>
  <si>
    <t>C:\Program Files\Microsoft SQL Server\MSSQL16.MSSQLSERVER\MSSQL\DATA\ALERT_FILE_DB.mdf</t>
  </si>
  <si>
    <t>C:\Program Files\Microsoft SQL Server\MSSQL16.MSSQLSERVER\MSSQL\DATA\ALERT_FILE_DB_log.ldf</t>
  </si>
  <si>
    <t>C:\Program Files\Microsoft SQL Server\MSSQL16.MSSQLSERVER\MSSQL\DATA\ASSIST_IMP_RPTS.mdf</t>
  </si>
  <si>
    <t>C:\Program Files\Microsoft SQL Server\MSSQL16.MSSQLSERVER\MSSQL\DATA\ASSIST_IMP_RPTS_log.ldf</t>
  </si>
  <si>
    <t>F:\Microsoft SQL Server\MSSQL15\DATA\LIVELO.mdf</t>
  </si>
  <si>
    <t>F:\Microsoft SQL Server\MSSQL15\DATA\LIVELO_log.ldf</t>
  </si>
  <si>
    <t>C:\Program Files\Microsoft SQL Server\MSSQL16.MSSQLSERVER\MSSQL\DATA\misc.mdf</t>
  </si>
  <si>
    <t>C:\Program Files\Microsoft SQL Server\MSSQL16.MSSQLSERVER\MSSQL\DATA\misc_log.ldf</t>
  </si>
  <si>
    <t>DB-125</t>
  </si>
  <si>
    <t>DB-126</t>
  </si>
  <si>
    <t>DB-127</t>
  </si>
  <si>
    <t>DB-128</t>
  </si>
  <si>
    <t>SRV-055</t>
  </si>
  <si>
    <t>BFB-FEDLINK</t>
  </si>
  <si>
    <t>DB-129</t>
  </si>
  <si>
    <t>FEDLINK</t>
  </si>
  <si>
    <t>7/14/2026 3:04</t>
  </si>
  <si>
    <t>D:\Program Files\Microsoft SQL Server\MSSQL15.MSSQLSERVER\MSSQL\DATA\Fedlink.mdf</t>
  </si>
  <si>
    <t>E:\Program Files\Microsoft SQL Server\MSSQL15.MSSQLSERVER\MSSQL\Data\Fedlink_log.ldf</t>
  </si>
  <si>
    <t>DB-130</t>
  </si>
  <si>
    <t>AS400_STAGE</t>
  </si>
  <si>
    <t>AXIOM_STAGE</t>
  </si>
  <si>
    <t>B2BTXWEBAPP_STAGE</t>
  </si>
  <si>
    <t>BAC_BRAD_premigration</t>
  </si>
  <si>
    <t>BAC_BRAD_PREPROD_060123</t>
  </si>
  <si>
    <t>BAC_BRAD_STAGE</t>
  </si>
  <si>
    <t>BAC_Collections</t>
  </si>
  <si>
    <t>BACMASTERDB_STAGE</t>
  </si>
  <si>
    <t>BB_DATA_AUX</t>
  </si>
  <si>
    <t>BBFB_WIRES_STAGE</t>
  </si>
  <si>
    <t>BCP_Global_IBKR_STAGE</t>
  </si>
  <si>
    <t>BFB_MISC_STAGE</t>
  </si>
  <si>
    <t>BFI_INTG_STAGE</t>
  </si>
  <si>
    <t>BRAD_RPRT_STAGE</t>
  </si>
  <si>
    <t>CONSOLIDATED_STATEMENTS_STAGE</t>
  </si>
  <si>
    <t>EAA_STAGE</t>
  </si>
  <si>
    <t>EWF_DB_STAGE</t>
  </si>
  <si>
    <t>INNOVA_ADI_STAGE</t>
  </si>
  <si>
    <t>MFTFA_DB_STAGE</t>
  </si>
  <si>
    <t>NICE</t>
  </si>
  <si>
    <t>PERSHING_DATA_TEST</t>
  </si>
  <si>
    <t>PERSHING_HLDR_UAT</t>
  </si>
  <si>
    <t>ReportServer_STAGE</t>
  </si>
  <si>
    <t>RM_RO_STAGE</t>
  </si>
  <si>
    <t>TRANSACT_STAGE</t>
  </si>
  <si>
    <t>DB-131</t>
  </si>
  <si>
    <t>DB-132</t>
  </si>
  <si>
    <t>DB-133</t>
  </si>
  <si>
    <t>DB-134</t>
  </si>
  <si>
    <t>DB-135</t>
  </si>
  <si>
    <t>DB-136</t>
  </si>
  <si>
    <t>DB-137</t>
  </si>
  <si>
    <t>DB-138</t>
  </si>
  <si>
    <t>DB-139</t>
  </si>
  <si>
    <t>DB-140</t>
  </si>
  <si>
    <t>DB-141</t>
  </si>
  <si>
    <t>DB-142</t>
  </si>
  <si>
    <t>DB-143</t>
  </si>
  <si>
    <t>DB-144</t>
  </si>
  <si>
    <t>DB-145</t>
  </si>
  <si>
    <t>DB-146</t>
  </si>
  <si>
    <t>DB-147</t>
  </si>
  <si>
    <t>DB-148</t>
  </si>
  <si>
    <t>DB-149</t>
  </si>
  <si>
    <t>DB-150</t>
  </si>
  <si>
    <t>DB-151</t>
  </si>
  <si>
    <t>DB-152</t>
  </si>
  <si>
    <t>DB-153</t>
  </si>
  <si>
    <t>DB-154</t>
  </si>
  <si>
    <t>DB-155</t>
  </si>
  <si>
    <t>DB-156</t>
  </si>
  <si>
    <t>DB-157</t>
  </si>
  <si>
    <t>DB-158</t>
  </si>
  <si>
    <t>DB-159</t>
  </si>
  <si>
    <t>DB-160</t>
  </si>
  <si>
    <t>DB-162</t>
  </si>
  <si>
    <t>DB-164</t>
  </si>
  <si>
    <t>DB-166</t>
  </si>
  <si>
    <t>DB-167</t>
  </si>
  <si>
    <t>7/14/2026 3:57</t>
  </si>
  <si>
    <t>C:\Program Files\Microsoft SQL Server\MSSQL15.MSSQLSERVER\MSSQL\DATA\AS400_STAGE.mdf</t>
  </si>
  <si>
    <t>C:\Program Files\Microsoft SQL Server\MSSQL15.MSSQLSERVER\MSSQL\DATA\AS400_STAGE_log.ldf</t>
  </si>
  <si>
    <t>C:\Program Files\Microsoft SQL Server\MSSQL13.MSSQLSERVER\MSSQL\DATA\AXIOM_STAGE.mdf</t>
  </si>
  <si>
    <t>C:\Program Files\Microsoft SQL Server\MSSQL13.MSSQLSERVER\MSSQL\DATA\AXIOM_STAGE_log.ldf</t>
  </si>
  <si>
    <t>C:\Program Files\Microsoft SQL Server\MSSQL13.MSSQLSERVER\MSSQL\DATA\B2BTXWEBAPP_STAGE.mdf</t>
  </si>
  <si>
    <t>C:\Program Files\Microsoft SQL Server\MSSQL13.MSSQLSERVER\MSSQL\DATA\B2BTXWEBAPP_STAGE_log.ldf</t>
  </si>
  <si>
    <t>C:\Program Files\Microsoft SQL Server\MSSQL13.MSSQLSERVER\MSSQL\DATA\BAC_BRAD_premigration</t>
  </si>
  <si>
    <t>C:\Program Files\Microsoft SQL Server\MSSQL13.MSSQLSERVER\MSSQL\DATA\BAC_BRAD_premigration_log</t>
  </si>
  <si>
    <t>C:\Program Files\Microsoft SQL Server\MSSQL13.MSSQLSERVER\MSSQL\DATA\BAC_BRAD_PREPROD_060123</t>
  </si>
  <si>
    <t>C:\Program Files\Microsoft SQL Server\MSSQL13.MSSQLSERVER\MSSQL\DATA\BAC_BRAD_PREPROD_060123_log</t>
  </si>
  <si>
    <t>C:\Program Files\Microsoft SQL Server\MSSQL13.MSSQLSERVER\MSSQL\DATA\BAC_BRAD_STAGE</t>
  </si>
  <si>
    <t>C:\Program Files\Microsoft SQL Server\MSSQL13.MSSQLSERVER\MSSQL\DATA\BAC_BRAD_STAGE_log</t>
  </si>
  <si>
    <t>C:\Program Files\Microsoft SQL Server\MSSQL15.MSSQLSERVER\MSSQL\DATA\BAC_Collections.mdf</t>
  </si>
  <si>
    <t>C:\Program Files\Microsoft SQL Server\MSSQL15.MSSQLSERVER\MSSQL\DATA\BAC_Collections_1.ldf</t>
  </si>
  <si>
    <t>C:\Program Files\Microsoft SQL Server\MSSQL13.MSSQLSERVER\MSSQL\DATA\BAC_DI.mdf</t>
  </si>
  <si>
    <t>C:\Program Files\Microsoft SQL Server\MSSQL13.MSSQLSERVER\MSSQL\DATA\BAC_DI_log.ldf</t>
  </si>
  <si>
    <t>C:\Program Files\Microsoft SQL Server\MSSQL13.MSSQLSERVER\MSSQL\DATA\BAC_DI_STAGE.mdf</t>
  </si>
  <si>
    <t>C:\Program Files\Microsoft SQL Server\MSSQL13.MSSQLSERVER\MSSQL\DATA\BAC_DI_STAGE_log.ldf</t>
  </si>
  <si>
    <t>C:\Program Files\Microsoft SQL Server\MSSQL13.MSSQLSERVER\MSSQL\DATA\BACMASTERDB_STAGE.mdf</t>
  </si>
  <si>
    <t>C:\Program Files\Microsoft SQL Server\MSSQL13.MSSQLSERVER\MSSQL\DATA\BACMASTERDB_STAGE_log.ldf</t>
  </si>
  <si>
    <t>C:\Program Files\Microsoft SQL Server\MSSQL15.MSSQLSERVER\MSSQL\DATA\BB_DATA.mdf</t>
  </si>
  <si>
    <t>C:\Program Files\Microsoft SQL Server\MSSQL15.MSSQLSERVER\MSSQL\DATA\BB_DATA_log.ldf</t>
  </si>
  <si>
    <t>C:\Program Files\Microsoft SQL Server\MSSQL15.MSSQLSERVER\MSSQL\DATA\BB_DATA_AUX.mdf</t>
  </si>
  <si>
    <t>C:\Program Files\Microsoft SQL Server\MSSQL15.MSSQLSERVER\MSSQL\DATA\BB_DATA_AUX_log.ldf</t>
  </si>
  <si>
    <t>C:\Program Files\Microsoft SQL Server\MSSQL15.MSSQLSERVER\MSSQL\DATA\BB_PROCESS.mdf</t>
  </si>
  <si>
    <t>C:\Program Files\Microsoft SQL Server\MSSQL15.MSSQLSERVER\MSSQL\DATA\BB_PROCESS_log.ldf</t>
  </si>
  <si>
    <t>C:\Program Files\Microsoft SQL Server\MSSQL15.MSSQLSERVER\MSSQL\DATA\BBFB_KATABAT_UAT.mdf</t>
  </si>
  <si>
    <t>C:\Program Files\Microsoft SQL Server\MSSQL15.MSSQLSERVER\MSSQL\DATA\BBFB_KATABAT_UAT_log.ldf</t>
  </si>
  <si>
    <t>C:\Program Files\Microsoft SQL Server\MSSQL13.MSSQLSERVER\MSSQL\DATA\BCP_Global_IBKR_STAGE.mdf</t>
  </si>
  <si>
    <t>C:\Program Files\Microsoft SQL Server\MSSQL13.MSSQLSERVER\MSSQL\DATA\BCP_Global_IBKR_STAGE_log.ldf</t>
  </si>
  <si>
    <t>C:\Program Files\Microsoft SQL Server\MSSQL13.MSSQLSERVER\MSSQL\DATA\BFB_MISC_STAGE.mdf</t>
  </si>
  <si>
    <t>C:\Program Files\Microsoft SQL Server\MSSQL13.MSSQLSERVER\MSSQL\DATA\BFB_MISC_STAGE_1.ldf</t>
  </si>
  <si>
    <t>C:\Program Files\Microsoft SQL Server\MSSQL13.MSSQLSERVER\MSSQL\DATA\BFI_INTG_STAGE.mdf</t>
  </si>
  <si>
    <t>C:\Program Files\Microsoft SQL Server\MSSQL13.MSSQLSERVER\MSSQL\DATA\BFI_INTG_STAGE_log.ldf</t>
  </si>
  <si>
    <t>C:\Program Files\Microsoft SQL Server\MSSQL13.MSSQLSERVER\MSSQL\DATA\BRAD_RPRT_STAGE.mdf</t>
  </si>
  <si>
    <t>C:\Program Files\Microsoft SQL Server\MSSQL13.MSSQLSERVER\MSSQL\DATA\BRAD_RPRT_STAGE.ldf</t>
  </si>
  <si>
    <t>C:\Program Files\Microsoft SQL Server\MSSQL13.MSSQLSERVER\MSSQL\DATA\CONSOLIDATED_STATEMENTS_STAGE.mdf</t>
  </si>
  <si>
    <t>C:\Program Files\Microsoft SQL Server\MSSQL13.MSSQLSERVER\MSSQL\DATA\CONSOLIDATED_STATEMENTS_STAGE_log.ldf</t>
  </si>
  <si>
    <t>C:\Program Files\Microsoft SQL Server\MSSQL13.MSSQLSERVER\MSSQL\DATA\EAA_STAGE.mdf</t>
  </si>
  <si>
    <t>C:\Program Files\Microsoft SQL Server\MSSQL13.MSSQLSERVER\MSSQL\DATA\EAA_STAGE_log.ldf</t>
  </si>
  <si>
    <t>C:\Program Files\Microsoft SQL Server\MSSQL13.MSSQLSERVER\MSSQL\DATA\WTDB.mdf</t>
  </si>
  <si>
    <t>C:\Program Files\Microsoft SQL Server\MSSQL13.MSSQLSERVER\MSSQL\DATA\WTDB_log.ldf</t>
  </si>
  <si>
    <t>C:\Program Files\Microsoft SQL Server\MSSQL13.MSSQLSERVER\MSSQL\DATA\INNOVA_ADI_STAGE.mdf</t>
  </si>
  <si>
    <t>C:\Program Files\Microsoft SQL Server\MSSQL13.MSSQLSERVER\MSSQL\DATA\INNOVA_ADI_STAGE_log.ldf</t>
  </si>
  <si>
    <t>C:\Program Files\Microsoft SQL Server\MSSQL15.MSSQLSERVER\MSSQL\DATA\LIVELO.mdf</t>
  </si>
  <si>
    <t>C:\Program Files\Microsoft SQL Server\MSSQL15.MSSQLSERVER\MSSQL\DATA\LIVELO_log.ldf</t>
  </si>
  <si>
    <t>C:\Program Files\Microsoft SQL Server\MSSQL13.MSSQLSERVER\MSSQL\DATA\MFTFA_DB_STAGE.mdf</t>
  </si>
  <si>
    <t>C:\Program Files\Microsoft SQL Server\MSSQL13.MSSQLSERVER\MSSQL\DATA\MFTFA_DB_STAGE_log.ldf</t>
  </si>
  <si>
    <t>C:\Program Files\Microsoft SQL Server\MSSQL15.MSSQLSERVER\MSSQL\DATA\NICE.mdf</t>
  </si>
  <si>
    <t>C:\Program Files\Microsoft SQL Server\MSSQL15.MSSQLSERVER\MSSQL\DATA\NICE_log.ldf</t>
  </si>
  <si>
    <t>C:\Program Files\Microsoft SQL Server\MSSQL13.MSSQLSERVER\MSSQL\DATA\PERSHING_DATA_TEST.mdf</t>
  </si>
  <si>
    <t>C:\Program Files\Microsoft SQL Server\MSSQL13.MSSQLSERVER\MSSQL\DATA\PERSHING_DATA_TEST_log.ldf</t>
  </si>
  <si>
    <t>C:\Program Files\Microsoft SQL Server\MSSQL15.MSSQLSERVER\MSSQL\DATA\PERSHING_HLDR_UAT.mdf</t>
  </si>
  <si>
    <t>C:\Program Files\Microsoft SQL Server\MSSQL15.MSSQLSERVER\MSSQL\DATA\PERSHING_HLDR_UAT_log.ldf</t>
  </si>
  <si>
    <t>C:\Program Files\Microsoft SQL Server\MSSQL13.MSSQLSERVER\MSSQL\DATA\ReportServer_STAGE.mdf</t>
  </si>
  <si>
    <t>C:\Program Files\Microsoft SQL Server\MSSQL13.MSSQLSERVER\MSSQL\DATA\ReportServer_STAGE_1.LDF</t>
  </si>
  <si>
    <t>C:\Program Files\Microsoft SQL Server\MSSQL13.MSSQLSERVER\MSSQL\DATA\RM_RO_STAGE.mdf</t>
  </si>
  <si>
    <t>C:\Program Files\Microsoft SQL Server\MSSQL13.MSSQLSERVER\MSSQL\DATA\RM_RO_STAGE_log.ldf</t>
  </si>
  <si>
    <t>C:\Program Files\Microsoft SQL Server\MSSQL13.MSSQLSERVER\MSSQL\DATA\TRANSACT.mdf</t>
  </si>
  <si>
    <t>C:\Program Files\Microsoft SQL Server\MSSQL13.MSSQLSERVER\MSSQL\DATA\TRANSACT_log.ldf</t>
  </si>
  <si>
    <t>C:\Program Files\Microsoft SQL Server\MSSQL15.MSSQLSERVER\MSSQL\DATA\WFServer_Primary.mdf</t>
  </si>
  <si>
    <t>C:\Program Files\Microsoft SQL Server\MSSQL15.MSSQLSERVER\MSSQL\DATA\WFServer_Primary.ldf</t>
  </si>
  <si>
    <t>C:\Program Files\Microsoft SQL Server\MSSQL15.MSSQLSERVER\MSSQL\DATA\WFServerReporting_Primary.mdf</t>
  </si>
  <si>
    <t>C:\Program Files\Microsoft SQL Server\MSSQL15.MSSQLSERVER\MSSQL\DATA\WFServerReporting_Primary.ldf</t>
  </si>
  <si>
    <t>uat_invest_onboarding</t>
  </si>
  <si>
    <t>/var/opt/mssql/data/uat_invest_onboarding.mdf</t>
  </si>
  <si>
    <t>/var/opt/mssql/data/uat_invest_onboarding_log.ldf</t>
  </si>
  <si>
    <t>NULL</t>
  </si>
  <si>
    <t>bb_docgen_uat</t>
  </si>
  <si>
    <t>/var/opt/mssql/data/BB_DocGen_uat.mdf</t>
  </si>
  <si>
    <t>/var/opt/mssql/data/BB_DocGen_uat_log.ldf</t>
  </si>
  <si>
    <t>affluent_onboarding</t>
  </si>
  <si>
    <t>/var/opt/mssql/data/affluent-onboarding.mdf</t>
  </si>
  <si>
    <t>/var/opt/mssql/data/affluent-onboarding_log.ldf</t>
  </si>
  <si>
    <t>affluent_onboarding_new</t>
  </si>
  <si>
    <t>/var/opt/mssql/data/affluent_onboarding_new.mdf</t>
  </si>
  <si>
    <t>/var/opt/mssql/data/affluent_onboarding_new_log.ldf</t>
  </si>
  <si>
    <t>uat_invest_sei</t>
  </si>
  <si>
    <t>/var/opt/mssql/data/uat_invest_sei.mdf</t>
  </si>
  <si>
    <t>/var/opt/mssql/data/uat_invest_sei_log.ldf</t>
  </si>
  <si>
    <t>uatDB</t>
  </si>
  <si>
    <t>/var/opt/mssql/data/uatDB.mdf</t>
  </si>
  <si>
    <t>/var/opt/mssql/data/uatDB_log.ldf</t>
  </si>
  <si>
    <t>uat_invest_ict</t>
  </si>
  <si>
    <t>/var/opt/mssql/data/uat_invest_service.mdf</t>
  </si>
  <si>
    <t>/var/opt/mssql/data/uat_invest_service_log.ldf</t>
  </si>
  <si>
    <t>lifecycle_communication</t>
  </si>
  <si>
    <t>/var/opt/mssql/data/lifecycle_communication.mdf</t>
  </si>
  <si>
    <t>/var/opt/mssql/data/lifecycle_communication_log.ldf</t>
  </si>
  <si>
    <t>uat_core_banking_services</t>
  </si>
  <si>
    <t>/var/opt/mssql/data/uat_core_banking_services.mdf</t>
  </si>
  <si>
    <t>/var/opt/mssql/data/uat_core_banking_services_log.ldf</t>
  </si>
  <si>
    <t>SRV-056</t>
  </si>
  <si>
    <t>BB-VV-BD-008</t>
  </si>
  <si>
    <t>DB-168</t>
  </si>
  <si>
    <t>DB-169</t>
  </si>
  <si>
    <t>DB-170</t>
  </si>
  <si>
    <t>DB-171</t>
  </si>
  <si>
    <t>DB-172</t>
  </si>
  <si>
    <t>D:\Program Files\Microsoft SQL Server\MSSQL16.MSSQLSERVER\MSSQL\Data\DQP_GOLD.mdf</t>
  </si>
  <si>
    <t>D:\Program Files\Microsoft SQL Server\MSSQL16.MSSQLSERVER\MSSQL\Data\DQP_GOLD_log.ldf</t>
  </si>
  <si>
    <t>D:\Program Files\Microsoft SQL Server\MSSQL16.MSSQLSERVER\MSSQL\Data\DQP_BRONZE.mdf</t>
  </si>
  <si>
    <t>D:\Program Files\Microsoft SQL Server\MSSQL16.MSSQLSERVER\MSSQL\Data\DQP_BRONZE_log.ldf</t>
  </si>
  <si>
    <t>D:\Program Files\Microsoft SQL Server\MSSQL16.MSSQLSERVER\MSSQL\Data\DQP_CONTROL.mdf</t>
  </si>
  <si>
    <t>D:\Program Files\Microsoft SQL Server\MSSQL16.MSSQLSERVER\MSSQL\Data\DQP_CONTROL_log.ldf</t>
  </si>
  <si>
    <t>D:\Program Files\Microsoft SQL Server\MSSQL16.MSSQLSERVER\MSSQL\Data\DQP_LANDING.mdf</t>
  </si>
  <si>
    <t>D:\Program Files\Microsoft SQL Server\MSSQL16.MSSQLSERVER\MSSQL\Data\DQP_LANDING_log.ldf</t>
  </si>
  <si>
    <t>D:\Program Files\Microsoft SQL Server\MSSQL16.MSSQLSERVER\MSSQL\Data\DQP_SILVER.mdf</t>
  </si>
  <si>
    <t>D:\Program Files\Microsoft SQL Server\MSSQL16.MSSQLSERVER\MSSQL\Data\DQP_SILVER_log.ldf</t>
  </si>
  <si>
    <t>SRV-057</t>
  </si>
  <si>
    <t>Linked Server from NiFi Dev</t>
  </si>
  <si>
    <t>sqlserver-7db9877b68-6h74t</t>
  </si>
  <si>
    <t>DB-173</t>
  </si>
  <si>
    <t>DB-174</t>
  </si>
  <si>
    <t>DB-175</t>
  </si>
  <si>
    <t>DB-176</t>
  </si>
  <si>
    <t>DB-177</t>
  </si>
  <si>
    <t>DB-178</t>
  </si>
  <si>
    <t>DB-179</t>
  </si>
  <si>
    <t>DB-180</t>
  </si>
  <si>
    <t>DB-181</t>
  </si>
  <si>
    <t>NiFi</t>
  </si>
  <si>
    <t>DBT</t>
  </si>
  <si>
    <t>Reports</t>
  </si>
  <si>
    <t>OnBoarding sys</t>
  </si>
  <si>
    <t>Information by IBKR</t>
  </si>
  <si>
    <t>DB-182</t>
  </si>
  <si>
    <t>Consume by DW</t>
  </si>
  <si>
    <t>IT Operations Team</t>
  </si>
  <si>
    <t>Devs</t>
  </si>
  <si>
    <t>Finance</t>
  </si>
  <si>
    <t>DataWarehouse</t>
  </si>
  <si>
    <t>Operations Deparment</t>
  </si>
  <si>
    <t>BSA</t>
  </si>
  <si>
    <t>Corporate Security</t>
  </si>
  <si>
    <t>Operations Deparment | BSA</t>
  </si>
  <si>
    <t>Non-MSSQL product detected</t>
  </si>
  <si>
    <t>MSSQL detected</t>
  </si>
  <si>
    <t xml:space="preserve">Duplicate </t>
  </si>
  <si>
    <t>SQL installed; no business databases found.</t>
  </si>
  <si>
    <t>Duplicate</t>
  </si>
  <si>
    <t>Devs NiFi</t>
  </si>
  <si>
    <t>Servers by Environment (fill col I on Tab 2)</t>
  </si>
  <si>
    <t>Empty</t>
  </si>
  <si>
    <t>Complete</t>
  </si>
  <si>
    <t>Notes (2)</t>
  </si>
  <si>
    <t>The server was not found</t>
  </si>
  <si>
    <t>The login is from an untrusted domain and cannot be used with Windows authentication (172.29.5.25)
The server was not found (172.29.5.39)</t>
  </si>
  <si>
    <t>Yanniel / Eric / Grass</t>
  </si>
  <si>
    <t>Generate Files csv</t>
  </si>
  <si>
    <t>Sources</t>
  </si>
  <si>
    <t>Dependecy</t>
  </si>
  <si>
    <t>Flat File</t>
  </si>
  <si>
    <t>Deprecated</t>
  </si>
  <si>
    <t>Andres Paulino</t>
  </si>
  <si>
    <t>Web App - API</t>
  </si>
  <si>
    <t>OnBoarding sys (COS)</t>
  </si>
  <si>
    <t>SSIS - Core Bank DB2</t>
  </si>
  <si>
    <t>Sources Owner</t>
  </si>
  <si>
    <t>Dependency Owner</t>
  </si>
  <si>
    <t>Reafel Praga - Finnance System</t>
  </si>
  <si>
    <t>Bradesco Bank Engineering</t>
  </si>
  <si>
    <t>Yanniel</t>
  </si>
  <si>
    <t>Answer</t>
  </si>
  <si>
    <t>Owner</t>
  </si>
  <si>
    <t>ID</t>
  </si>
  <si>
    <t>Topic</t>
  </si>
  <si>
    <t>Question</t>
  </si>
  <si>
    <t>Status</t>
  </si>
  <si>
    <t>Q1</t>
  </si>
  <si>
    <t>Duplicates / Engine</t>
  </si>
  <si>
    <t>Open</t>
  </si>
  <si>
    <t>Q2</t>
  </si>
  <si>
    <t>Databases in Scope</t>
  </si>
  <si>
    <t>Q3</t>
  </si>
  <si>
    <t>Access &amp; Ownership</t>
  </si>
  <si>
    <t>Q4</t>
  </si>
  <si>
    <t>Scope / SQL Compact</t>
  </si>
  <si>
    <t>Q5</t>
  </si>
  <si>
    <t>Data Quality</t>
  </si>
  <si>
    <t>Q6</t>
  </si>
  <si>
    <t>The SQL Server product edition (Standard, Enterprise, Express, Developer). Reported in the 'Edition' column on Tab 2; affects licensing and available HA/DR features at migration.</t>
  </si>
  <si>
    <t>State (ONLINE / OFFLINE)</t>
  </si>
  <si>
    <t>The operational status of a database as reported by the engine. 'State' column on Tab 3: ONLINE = available; OFFLINE = not mounted/accessible. Drives the 'Database State' KPI on the Dashboard.</t>
  </si>
  <si>
    <t>mdf / ldf (Data &amp; Log Files)</t>
  </si>
  <si>
    <t>Physical SQL Server files: .mdf is the primary data file, .ldf is the transaction log file. Their paths are listed on Tab 3 and must be relocated during a migration/restore.</t>
  </si>
  <si>
    <t>SSIS (SQL Server Integration Services)</t>
  </si>
  <si>
    <t>Microsoft's ETL platform used to extract/transform/load data (e.g. 'SSIS - Core Bank DB2' in the Sources column on Tab 3). SSIS packages are a dependency that must be inventoried and migrated with the database.</t>
  </si>
  <si>
    <t>A plain data file (CSV/TXT) used as a source or dependency for a database (see 'Dependency' column on Tab 3). Requires the file share/location to be repointed at cutover.</t>
  </si>
  <si>
    <t>Non-MSSQL Engines (MySQL / MariaDB / MongoDB)</t>
  </si>
  <si>
    <t>Database engines found in the inventory that are NOT Microsoft SQL Server (MySQL 5.7/8.0/8.4, MariaDB, MongoDB). Flagged 'Non-MSSQL product detected' and marked Out of Scope for this MSSQL assessment ('In Scope (MSSQL)' = No).</t>
  </si>
  <si>
    <t>DB2</t>
  </si>
  <si>
    <t>IBM Db2, a separate relational database platform referenced as an upstream source ('Core Bank DB2'). Treated as an external source system, not an MSSQL migration target.</t>
  </si>
  <si>
    <t>Business importance rating of a server or database (High / Medium / Low / Unknown). Used to prioritize the migration wave; sourced from the Application/Functional Owner.</t>
  </si>
  <si>
    <t>The proposed action for a database on Tab 3 (e.g. Pending validation, Decommission), distinct from 'Migration Status'. Captures the assessor's suggested next step.</t>
  </si>
  <si>
    <t>For the duplicates, was the "engine" (product) taken into account when identifying them?</t>
  </si>
  <si>
    <t>"No business databases found": does this mean the databases do not exist, that they are not used, or that Bradesco does not manage that server? For example, BACSANSRV has 23 DBs — who owns them and what are they for?</t>
  </si>
  <si>
    <t>For the servers, how do we get access? Can access be granted? Do we need to escalate this somewhere? Can you identify all the DBs on that server? Is there an owner for each DB we can consult about how it is fed and what it is used for?</t>
  </si>
  <si>
    <t>Can we consider the SQL Compact instances out of scope because they contain no databases? If they do contain databases, are they used by applications?</t>
  </si>
  <si>
    <t>We have an example: server BFBWEBDEV runs MSSQL 2019, but its note says "Non-MSSQL product detected". Which value is correct?</t>
  </si>
  <si>
    <t>The HA/DR column is marked as DR: can we identify which server is its DR pair? For example, BBFBDBVIEW is marked as DR — which server does it serve as DR for, and what does it have as its DR?</t>
  </si>
  <si>
    <t>Web App - Users ; API ; Documment Sign</t>
  </si>
  <si>
    <t>Login failed for user</t>
  </si>
  <si>
    <t>SQLEXPRESS - 2017 version detected</t>
  </si>
  <si>
    <t>Same server as SRV-026</t>
  </si>
  <si>
    <t>Same server as SRV-006</t>
  </si>
  <si>
    <t>Same as server SRV-015</t>
  </si>
  <si>
    <t>Data on Template Servers</t>
  </si>
  <si>
    <t>Owners</t>
  </si>
  <si>
    <t>Technical Owners Servers</t>
  </si>
  <si>
    <t>Technical Owners Databases</t>
  </si>
  <si>
    <t>Sources Owners Databases</t>
  </si>
  <si>
    <t>Business Owners Servers</t>
  </si>
  <si>
    <t>Dependency Owners Databases</t>
  </si>
  <si>
    <t>Recomendations</t>
  </si>
  <si>
    <t>Servers with DBs</t>
  </si>
  <si>
    <t>Pershing</t>
  </si>
  <si>
    <t>Origen de los datos: Core System
Reports (SSRS)</t>
  </si>
  <si>
    <t>Proceso en COS - OnBoarding sys (COS)
Instalación de Django (framework de python)  para automatización de las formas</t>
  </si>
  <si>
    <t>Andrés Paulino</t>
  </si>
  <si>
    <t>Portal web</t>
  </si>
  <si>
    <t>Yanniel / Eric</t>
  </si>
  <si>
    <t>Criticallity (Databases)</t>
  </si>
  <si>
    <t>DB-183</t>
  </si>
  <si>
    <t>uat_domestic_services</t>
  </si>
  <si>
    <t>/var/opt/mssql/data/uat_domestic_services.mdf</t>
  </si>
  <si>
    <t>/var/opt/mssql/data/uat_domestic_services_log.ldf</t>
  </si>
  <si>
    <t>dev_invest_onboarding</t>
  </si>
  <si>
    <t>Microsoft SQL Server 2022 (RTM-CU14-GDR) (KB5042578) - 16.0.4140.3 (X64)   Aug 13 2024 13:46:25   Copyright (C) 2022 Microsoft Corporation  Developer Edition (64-bit) on Linux (Ubuntu 22.04.4 LTS) &lt;X64&gt;</t>
  </si>
  <si>
    <t>/var/opt/mssql/data/dev_invest_onboarding.mdf</t>
  </si>
  <si>
    <t>/var/opt/mssql/data/dev_invest_onboarding_log.ldf</t>
  </si>
  <si>
    <t>dev_invest_sei</t>
  </si>
  <si>
    <t>/var/opt/mssql/data/sei-investments.mdf</t>
  </si>
  <si>
    <t>/var/opt/mssql/data/sei-investments_log.ldf</t>
  </si>
  <si>
    <t>devDB</t>
  </si>
  <si>
    <t>/var/opt/mssql/data/devDB.mdf</t>
  </si>
  <si>
    <t>/var/opt/mssql/data/devDB_log.ldf</t>
  </si>
  <si>
    <t>DB-184</t>
  </si>
  <si>
    <t>DB-185</t>
  </si>
  <si>
    <t>DB-186</t>
  </si>
  <si>
    <t>DB-187</t>
  </si>
  <si>
    <t>SRV-058</t>
  </si>
  <si>
    <t>sqlserver-6d45bcd4bf-vz9k2</t>
  </si>
  <si>
    <t>Pershing (Investment Platform) - genera archivos TXT y los deja disponibles en un servidor FTP/SFTP</t>
  </si>
  <si>
    <t>Aproximadamente 90% de ciertos Management Reports y Dashboards, todavia apuntan a BB_DATA y no han sido migrados a DW.</t>
  </si>
  <si>
    <t>Meeting del 2026-07-22 con Eric y Yanniel: 
- Este servidor/base (BB-VV-BD-001) esta en proceso de decommission o reemplazo. Antes de apagarlo, todo debe ser migrado hacia DW.</t>
  </si>
  <si>
    <t>Meeting del 2026-07-22 con Eric y Yanniel: 
- PERSHING_DATA_PROD corresponde a un proceso legacy: el equipo tiene actualmente dos procesos relacionados con la importacion de datos de Pershing: un proceso legacy y un proceso mas nuevo relacionado con DW.
- Pershing corresponde a inversiones, por lo que se usa como third party application data dentro del ecosistema Jack Henry.  El core bancario es Jack Henry, asociado a AS400 y datos en DB2. Tambien se explico que Experience es la interfaz grafica / portal de Jack Henry.
Jack Henry maneja principalmente datos bancarios retail, como cuentas de deposito, CDs, demand deposits, loans y productos bancarios tradicionales. 
- Existe la intencion de migrar o reemplazar este proceso legacy apuntando a DW. El nuevo enfoque seria que DW procese directamente los archivos TXT de Pershing, en lugar de consumir la base legacy actual. Una vez que el proceso este en DW, los procesos que hoy apuntan a PERSHING_DATA_PROD deberian modificarse para apuntar al nuevo origen.
No se dio una fecha exacta.
- ETL de generación del Consolidated View (perfil consolidado de la Banca Online - Q2): no está en proceso de migración por el momento</t>
  </si>
  <si>
    <t>ETL de ingesta:
- SSIS para descargar los archivos del FTP/SFTP de Pershing + procesamiento de archivos complejos o parsing no trivial con Python + persistencia en tablas SQL + scheduling en business days
ETL de exportación hacia BB_DATA:
- SSIS para exportar los datos desde PERSHING_DATA_PROD hacia BB_DATA (servidor BB-VV-BD-001)
ETL de exportación hacia el Core Bancario (Jack Henry):
- SSIS para exportar la data de inversiones + conexión ODBC con DB2 (AS400) + inyección en tablas temporales
ETL de generación del Consolidated View (perfil consolidado de la Banca Online - Q2):
- Se colecta información de cuentas e inversiones de clientes en distintos sistemas (reune balances, productos y tipos de productos) + persistencia en una tabla SQL: esto es consumido por un API</t>
  </si>
  <si>
    <t>BB_DATA, Jack Henry (Data de Inversiones), Perfil Consolidado de la Banca Online (a través de un API)</t>
  </si>
  <si>
    <t>Meeting del 2026-07-22 con Eric y Yanniel: 
- Esta BD es muy antigua o sin uso</t>
  </si>
  <si>
    <t>Meeting del 2026-07-22 con Eric y Yanniel: 
- Esta BD es de prueba</t>
  </si>
  <si>
    <t>N/A</t>
  </si>
  <si>
    <t>Meeting del 2026-07-22 con Eric y Yanniel: 
- Need to verify maintence reports
- Yanniel indico que todavia carga datos mensualmente, aunque no esta claro que tanto consumo real existe hoy
- La conclusion fue que puede seguir en uso, no parece critica y requiere validacion antes de decidir decommission.</t>
  </si>
  <si>
    <t>Core System</t>
  </si>
  <si>
    <t>Meeting del 2026-07-22 con Eric y Yanniel: 
- Se usa muy pocas veces al año, tipicamente una o dos veces, excepcionalmente hasta tres, dependiendo de auditorias o requerimientos regulatorios.</t>
  </si>
  <si>
    <t>ETL de actualización:
- Proceso de cuando vienen las auditorías (FDIC u otro regulador): conteo de los reportes anteriores
- Reportes de riesgo y de préstamo hipotecario (el ETL obtiene información de varios Excel, con cálculos que carga en varias tablas: y se exporta a un Excel y TXT)
- Una o dos veces por año (depende de la auditoría)</t>
  </si>
  <si>
    <t>Varios archivos Excel</t>
  </si>
  <si>
    <t>DB-188</t>
  </si>
  <si>
    <t>Meeting del 2026-07-22 con Eric y Yanniel:
- Eric aclaro que si se esta utilizando y que esta en produccion. Explico que la base esta relacionada con un proceso de CEO / COS / Onboarding - acronimo a validar - y sirve para generar documentacion automatica o formularios automaticos.
- Tecnologia asociada: Django / Python framework.
- Funcion: generacion de forms o documentacion automatica.
- Relacion: extension del sistema de onboarding.
- Owner indicado: Andres Paulino.
- Estado: productiva, en uso, no en proceso de migracion.</t>
  </si>
  <si>
    <t>Meeting del 2026-07-22 con Eric y Yanniel:
- Relacionada a un sistema de Collections: Portal Web (KATABAT Contact Manager) para que los empleados del banco que trabajan con los contactos actualicen los contactos
- Funcion: agregar, editar y mantener contactos asociados a prestamos.
- Inputs: lista de prestamos, probablemente actualizada por ETL/job. Incluye prestamos hipotecarios y ciertos prestamos de Jack Henry.
- Outputs: Script de exportacion que genera archivos TXT o CSV.
- Destino: Envio por SFTP al sistema del vendor, que luego consume los archivos.
 en este caso.</t>
  </si>
  <si>
    <t>KATABAT
Portal Web:
- Sistema de collection del banco (información para complementar que el Vendor requiere)
Portal Web (KATABAT Contact Manager) para que los empleados del banco que trabajan con los contactos actualicen los contactos
ETL de actualización:
- Para actualizar la lista de los préstamos (cuando hay un loan nuevo)
Script de exportación:
- A archivos de texto y se envían por FTP hacia KATABAT</t>
  </si>
  <si>
    <t>Departamento de BSA (Bank Secrecy Act)</t>
  </si>
  <si>
    <t>WIRES de FEDLINK, archivos de Core Bancario</t>
  </si>
  <si>
    <t>WIRES Reports
- Existen tres tablas (una de las tablas ya no se utiliza: Direct_wire)
Esto esta productivo: Hay un proceso que tiene que ver con los países de BSA
ETL de exportacion / importacion
- Importa informacion de Countries de la BD FEDLINK
- Escribe en una tabla con la info de Countries, del Core Bancario (DB2)
- Esta info finalmente es utilizada por el Departamenteo de BSA
No esta en proceso de migracion por el momento</t>
  </si>
  <si>
    <t>Reportes diarios y mensuales que se envian a Brasil con informacion de las cuentas, los clientes, las inversiones, los balances
Metricas mensuales</t>
  </si>
  <si>
    <t>Information by IBKR
Existe un API que se conecta a un servidor de Brasil
Info de balances, clientes, etc.
Una o dos veces al dia
Cuatro tablas: cuentas, particpantes de las cuentas, balance historico de las cuentas, historicos de data de clientes</t>
  </si>
  <si>
    <t>En produccion: temporary storage de los mortgage loans (prestamos hipotecarios), al principio del mes
ETL:
- lectura de los reportes de DMI (thirt party)
- extraccion en el formato requerido para la app ASSIST
ETL:
Se lee del Core Bancario las cuentas digitales que se abren durante el dia y se cargan en una tabla.  Y se extraen las del dia en un Excel, en una carpeta para un proceso posterior de validacion y enrole automatico de aquellas cuentas que no estan registradas (en banca en linea)</t>
  </si>
  <si>
    <t>ASSIST APP
Enrole automatico en banca en linea</t>
  </si>
  <si>
    <t>Sistema de puntos</t>
  </si>
  <si>
    <t>Juan Grass</t>
  </si>
  <si>
    <t>Business Intelligence</t>
  </si>
  <si>
    <t>Reportes de SSRS, de los BR: tentativamente esta live
Tabla interest_income_eom ..  Se esta utilizando por un Reporte
La mayor parte de la informacion de esta BD esta migrada</t>
  </si>
  <si>
    <t>Banca en Linea</t>
  </si>
  <si>
    <t>ETL de importacion:
- origen de datos: core bancario y Pershing
- Info de Consolidated View y genera un reporte mensual con el estado de cuenta consolidado de clientes (Proceso automatizado remoto)
- Este estado se publica mediante un API para los clientes en la banca en linea
- Esta en proceso de migracion de plataforma que realiza algo similar (estimado para fin de anno)</t>
  </si>
  <si>
    <t>M2M - APPLICATION TRANSACT</t>
  </si>
  <si>
    <t>Renan Silva</t>
  </si>
  <si>
    <t>Servers hosting &gt;1 DB</t>
  </si>
  <si>
    <t>Duplicated</t>
  </si>
  <si>
    <t>No SQL Installed.</t>
  </si>
  <si>
    <t>IT Operations Team, Rena Silva</t>
  </si>
  <si>
    <t>IT Operations Team, Devs</t>
  </si>
  <si>
    <t>IT Operations Team, Yanniel</t>
  </si>
  <si>
    <t>BSA,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</si>
</sst>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21" x14ac:knownFonts="1">
    <font>
      <sz val="11"/>
      <color theme="1"/>
      <name val="Calibri"/>
      <family val="2"/>
      <charset val="1"/>
    </font>
    <font>
      <b/>
      <sz val="12"/>
      <color rgb="FF1F3255"/>
      <name val="Arial"/>
      <family val="2"/>
    </font>
    <font>
      <b/>
      <sz val="9"/>
      <color rgb="FFFFFFFF"/>
      <name val="Arial"/>
      <family val="2"/>
    </font>
    <font>
      <sz val="9"/>
      <name val="Arial"/>
      <family val="2"/>
    </font>
    <font>
      <b/>
      <sz val="9"/>
      <color rgb="FFFFFFFF"/>
      <name val="Arial"/>
      <family val="2"/>
    </font>
    <font>
      <sz val="9"/>
      <color theme="1"/>
      <name val="Arial"/>
      <family val="2"/>
    </font>
    <font>
      <sz val="9"/>
      <name val="Arial"/>
      <family val="2"/>
    </font>
    <font>
      <b/>
      <sz val="16"/>
      <color rgb="FF1F3255"/>
      <name val="Arial"/>
      <family val="2"/>
    </font>
    <font>
      <i/>
      <sz val="9"/>
      <color rgb="FF595959"/>
      <name val="Arial"/>
      <family val="2"/>
    </font>
    <font>
      <b/>
      <sz val="9"/>
      <color theme="1"/>
      <name val="Arial"/>
      <family val="2"/>
    </font>
    <font>
      <b/>
      <sz val="12"/>
      <color rgb="FF1F3255"/>
      <name val="Arial"/>
      <family val="2"/>
    </font>
    <font>
      <b/>
      <sz val="18"/>
      <color rgb="FF1F3255"/>
      <name val="Arial"/>
      <family val="2"/>
    </font>
    <font>
      <sz val="9"/>
      <color theme="1"/>
      <name val="Calibri"/>
      <family val="2"/>
      <charset val="1"/>
    </font>
    <font>
      <b/>
      <sz val="20"/>
      <color rgb="FF1F3255"/>
      <name val="Arial"/>
      <family val="2"/>
    </font>
    <font>
      <b/>
      <sz val="8"/>
      <color rgb="FF595959"/>
      <name val="Arial"/>
      <family val="2"/>
    </font>
    <font>
      <b/>
      <sz val="11"/>
      <color rgb="FF1F3255"/>
      <name val="Arial"/>
      <family val="2"/>
    </font>
    <font>
      <sz val="8"/>
      <name val="Calibri"/>
      <family val="2"/>
      <charset val="1"/>
    </font>
    <font>
      <sz val="9"/>
      <name val="Arial"/>
      <family val="2"/>
    </font>
    <font>
      <sz val="10"/>
      <color theme="1"/>
      <name val="Calibri"/>
      <family val="2"/>
      <charset val="1"/>
    </font>
    <font>
      <sz val="9"/>
      <color rgb="FF000000"/>
      <name val="Arial"/>
      <family val="2"/>
    </font>
    <font>
      <b/>
      <sz val="9"/>
      <color rgb="FF000000"/>
      <name val="Arial"/>
      <family val="2"/>
    </font>
  </fonts>
  <fills count="16">
    <fill>
      <patternFill patternType="none"/>
    </fill>
    <fill>
      <patternFill patternType="gray125"/>
    </fill>
    <fill>
      <patternFill patternType="solid">
        <fgColor rgb="FF1F3255"/>
        <bgColor rgb="FF003366"/>
      </patternFill>
    </fill>
    <fill>
      <patternFill patternType="solid">
        <fgColor rgb="FF1F3255"/>
        <bgColor indexed="64"/>
      </patternFill>
    </fill>
    <fill>
      <patternFill patternType="solid">
        <fgColor rgb="FFFFF2CC"/>
        <bgColor indexed="64"/>
      </patternFill>
    </fill>
    <fill>
      <patternFill patternType="solid">
        <fgColor rgb="FFFFFFFF"/>
        <bgColor indexed="64"/>
      </patternFill>
    </fill>
    <fill>
      <patternFill patternType="solid">
        <fgColor rgb="FFEFF3F8"/>
        <bgColor indexed="64"/>
      </patternFill>
    </fill>
    <fill>
      <patternFill patternType="solid">
        <fgColor rgb="FFF2F2F2"/>
        <bgColor indexed="64"/>
      </patternFill>
    </fill>
    <fill>
      <patternFill patternType="solid">
        <fgColor rgb="FF00B050"/>
        <bgColor rgb="FFF2F2F2"/>
      </patternFill>
    </fill>
    <fill>
      <patternFill patternType="solid">
        <fgColor rgb="FF00B050"/>
        <bgColor indexed="64"/>
      </patternFill>
    </fill>
    <fill>
      <patternFill patternType="solid">
        <fgColor rgb="FFFFFF00"/>
        <bgColor rgb="FFF2F2F2"/>
      </patternFill>
    </fill>
    <fill>
      <patternFill patternType="solid">
        <fgColor rgb="FFFFFF00"/>
        <bgColor indexed="64"/>
      </patternFill>
    </fill>
    <fill>
      <patternFill patternType="solid">
        <fgColor rgb="FF00B0F0"/>
        <bgColor rgb="FFF2F2F2"/>
      </patternFill>
    </fill>
    <fill>
      <patternFill patternType="solid">
        <fgColor rgb="FF00B0F0"/>
        <bgColor indexed="64"/>
      </patternFill>
    </fill>
    <fill>
      <patternFill patternType="solid">
        <fgColor rgb="FFFF0000"/>
        <bgColor rgb="FFF2F2F2"/>
      </patternFill>
    </fill>
    <fill>
      <patternFill patternType="solid">
        <fgColor rgb="FFFF0000"/>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style="thin">
        <color rgb="FFB4C0D3"/>
      </left>
      <right style="thin">
        <color rgb="FFB4C0D3"/>
      </right>
      <top style="thin">
        <color rgb="FFB4C0D3"/>
      </top>
      <bottom style="thin">
        <color rgb="FFB4C0D3"/>
      </bottom>
      <diagonal/>
    </border>
    <border>
      <left style="thin">
        <color rgb="FFB4C0D3"/>
      </left>
      <right style="thin">
        <color rgb="FFB4C0D3"/>
      </right>
      <top/>
      <bottom style="thin">
        <color rgb="FFB4C0D3"/>
      </bottom>
      <diagonal/>
    </border>
    <border>
      <left style="thin">
        <color rgb="FFB4C0D3"/>
      </left>
      <right style="thin">
        <color rgb="FFB4C0D3"/>
      </right>
      <top style="thin">
        <color rgb="FFB4C0D3"/>
      </top>
      <bottom style="medium">
        <color rgb="FF1F3255"/>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0">
    <xf numFmtId="0" fontId="0" fillId="0" borderId="0" xfId="0"/>
    <xf numFmtId="0" fontId="1" fillId="0" borderId="0" xfId="0" applyFont="1"/>
    <xf numFmtId="0" fontId="2" fillId="2" borderId="0" xfId="0" applyFont="1" applyFill="1"/>
    <xf numFmtId="0" fontId="3" fillId="0" borderId="0" xfId="0" applyFont="1"/>
    <xf numFmtId="0" fontId="4" fillId="3" borderId="0" xfId="0" applyFont="1" applyFill="1"/>
    <xf numFmtId="0" fontId="5" fillId="0" borderId="0" xfId="0" applyFont="1"/>
    <xf numFmtId="0" fontId="5" fillId="4" borderId="0" xfId="0" applyFont="1" applyFill="1"/>
    <xf numFmtId="0" fontId="5" fillId="5" borderId="0" xfId="0" applyFont="1" applyFill="1"/>
    <xf numFmtId="164" fontId="5" fillId="4" borderId="0" xfId="0" applyNumberFormat="1" applyFont="1" applyFill="1"/>
    <xf numFmtId="0" fontId="6" fillId="0" borderId="0" xfId="0" applyFont="1"/>
    <xf numFmtId="0" fontId="5" fillId="0" borderId="0" xfId="0" applyFont="1" applyAlignment="1">
      <alignment vertical="top"/>
    </xf>
    <xf numFmtId="0" fontId="5" fillId="0" borderId="0" xfId="0" applyFont="1" applyAlignment="1">
      <alignment vertical="top" wrapText="1"/>
    </xf>
    <xf numFmtId="0" fontId="7" fillId="0" borderId="0" xfId="0" applyFont="1" applyAlignment="1">
      <alignment vertical="top"/>
    </xf>
    <xf numFmtId="0" fontId="8"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9" fillId="4" borderId="0" xfId="0" applyFont="1" applyFill="1" applyAlignment="1">
      <alignment vertical="top"/>
    </xf>
    <xf numFmtId="0" fontId="9" fillId="5" borderId="0" xfId="0" applyFont="1" applyFill="1" applyAlignment="1">
      <alignment vertical="top"/>
    </xf>
    <xf numFmtId="0" fontId="9" fillId="6" borderId="0" xfId="0" applyFont="1" applyFill="1" applyAlignment="1">
      <alignment vertical="top"/>
    </xf>
    <xf numFmtId="0" fontId="11" fillId="0" borderId="0" xfId="0" applyFont="1"/>
    <xf numFmtId="0" fontId="12" fillId="0" borderId="0" xfId="0" applyFont="1"/>
    <xf numFmtId="0" fontId="13" fillId="7" borderId="0" xfId="0" applyFont="1" applyFill="1" applyAlignment="1">
      <alignment horizontal="center"/>
    </xf>
    <xf numFmtId="0" fontId="14" fillId="7" borderId="0" xfId="0" applyFont="1" applyFill="1" applyAlignment="1">
      <alignment horizontal="center"/>
    </xf>
    <xf numFmtId="0" fontId="15" fillId="0" borderId="0" xfId="0" applyFont="1"/>
    <xf numFmtId="0" fontId="0" fillId="0" borderId="1" xfId="0" applyBorder="1"/>
    <xf numFmtId="0" fontId="2" fillId="2" borderId="1" xfId="0" applyFont="1" applyFill="1" applyBorder="1" applyAlignment="1">
      <alignment vertical="center" wrapText="1"/>
    </xf>
    <xf numFmtId="0" fontId="17" fillId="0" borderId="0" xfId="0" applyFont="1"/>
    <xf numFmtId="22" fontId="5" fillId="4" borderId="0" xfId="0" applyNumberFormat="1" applyFont="1" applyFill="1" applyAlignment="1">
      <alignment horizontal="right" vertical="center"/>
    </xf>
    <xf numFmtId="22" fontId="0" fillId="0" borderId="0" xfId="0" applyNumberFormat="1" applyAlignment="1">
      <alignment horizontal="right" vertical="center"/>
    </xf>
    <xf numFmtId="0" fontId="5" fillId="5" borderId="0" xfId="0" applyFont="1" applyFill="1" applyAlignment="1">
      <alignment wrapText="1"/>
    </xf>
    <xf numFmtId="0" fontId="20" fillId="6" borderId="3" xfId="0" applyFont="1" applyFill="1" applyBorder="1" applyAlignment="1">
      <alignment horizontal="center" vertical="top" wrapText="1"/>
    </xf>
    <xf numFmtId="0" fontId="20" fillId="6" borderId="3" xfId="0" applyFont="1" applyFill="1" applyBorder="1" applyAlignment="1">
      <alignment vertical="top" wrapText="1"/>
    </xf>
    <xf numFmtId="0" fontId="19" fillId="6" borderId="3" xfId="0" applyFont="1" applyFill="1" applyBorder="1" applyAlignment="1">
      <alignment vertical="top" wrapText="1"/>
    </xf>
    <xf numFmtId="0" fontId="19" fillId="6" borderId="3" xfId="0" applyFont="1" applyFill="1" applyBorder="1" applyAlignment="1">
      <alignment horizontal="center" vertical="top" wrapText="1"/>
    </xf>
    <xf numFmtId="0" fontId="20" fillId="5" borderId="3" xfId="0" applyFont="1" applyFill="1" applyBorder="1" applyAlignment="1">
      <alignment horizontal="center" vertical="top" wrapText="1"/>
    </xf>
    <xf numFmtId="0" fontId="20" fillId="5" borderId="3" xfId="0" applyFont="1" applyFill="1" applyBorder="1" applyAlignment="1">
      <alignment vertical="top" wrapText="1"/>
    </xf>
    <xf numFmtId="0" fontId="19" fillId="5" borderId="3" xfId="0" applyFont="1" applyFill="1" applyBorder="1" applyAlignment="1">
      <alignment vertical="top" wrapText="1"/>
    </xf>
    <xf numFmtId="0" fontId="19" fillId="5" borderId="3" xfId="0" applyFont="1" applyFill="1" applyBorder="1" applyAlignment="1">
      <alignment horizontal="center" vertical="top" wrapText="1"/>
    </xf>
    <xf numFmtId="0" fontId="20" fillId="6" borderId="4" xfId="0" applyFont="1" applyFill="1" applyBorder="1" applyAlignment="1">
      <alignment horizontal="center" vertical="top" wrapText="1"/>
    </xf>
    <xf numFmtId="0" fontId="20" fillId="6" borderId="4" xfId="0" applyFont="1" applyFill="1" applyBorder="1" applyAlignment="1">
      <alignment vertical="top" wrapText="1"/>
    </xf>
    <xf numFmtId="0" fontId="19" fillId="6" borderId="4" xfId="0" applyFont="1" applyFill="1" applyBorder="1" applyAlignment="1">
      <alignment vertical="top" wrapText="1"/>
    </xf>
    <xf numFmtId="0" fontId="19" fillId="6" borderId="4" xfId="0" applyFont="1" applyFill="1" applyBorder="1" applyAlignment="1">
      <alignment horizontal="center" vertical="top" wrapText="1"/>
    </xf>
    <xf numFmtId="0" fontId="2" fillId="3" borderId="5" xfId="0" applyFont="1" applyFill="1" applyBorder="1" applyAlignment="1">
      <alignment horizontal="left" vertical="center"/>
    </xf>
    <xf numFmtId="0" fontId="20" fillId="5" borderId="6" xfId="0" applyFont="1" applyFill="1" applyBorder="1" applyAlignment="1">
      <alignment vertical="top" wrapText="1"/>
    </xf>
    <xf numFmtId="0" fontId="19" fillId="5" borderId="6" xfId="0" applyFont="1" applyFill="1" applyBorder="1" applyAlignment="1">
      <alignment vertical="top" wrapText="1"/>
    </xf>
    <xf numFmtId="0" fontId="20" fillId="6" borderId="6" xfId="0" applyFont="1" applyFill="1" applyBorder="1" applyAlignment="1">
      <alignment vertical="top" wrapText="1"/>
    </xf>
    <xf numFmtId="0" fontId="19" fillId="6" borderId="6" xfId="0" applyFont="1" applyFill="1" applyBorder="1" applyAlignment="1">
      <alignment vertical="top" wrapText="1"/>
    </xf>
    <xf numFmtId="22" fontId="0" fillId="0" borderId="0" xfId="0" applyNumberFormat="1"/>
    <xf numFmtId="0" fontId="5" fillId="5" borderId="0" xfId="0" applyFont="1" applyFill="1" applyAlignment="1">
      <alignment vertical="top" wrapText="1"/>
    </xf>
    <xf numFmtId="0" fontId="5" fillId="4" borderId="0" xfId="0" applyFont="1" applyFill="1" applyAlignment="1">
      <alignment vertical="top" wrapText="1"/>
    </xf>
    <xf numFmtId="22" fontId="5" fillId="4" borderId="0" xfId="0" applyNumberFormat="1" applyFont="1" applyFill="1" applyAlignment="1">
      <alignment horizontal="right" vertical="top" wrapText="1"/>
    </xf>
    <xf numFmtId="164" fontId="5" fillId="4" borderId="0" xfId="0" applyNumberFormat="1" applyFont="1" applyFill="1" applyAlignment="1">
      <alignment vertical="top" wrapText="1"/>
    </xf>
    <xf numFmtId="0" fontId="3" fillId="8" borderId="2" xfId="0" applyFont="1" applyFill="1" applyBorder="1" applyAlignment="1">
      <alignment vertical="top" wrapText="1"/>
    </xf>
    <xf numFmtId="0" fontId="3" fillId="8" borderId="2" xfId="0" applyFont="1" applyFill="1" applyBorder="1"/>
    <xf numFmtId="0" fontId="5" fillId="9" borderId="2" xfId="0" applyFont="1" applyFill="1" applyBorder="1"/>
    <xf numFmtId="0" fontId="0" fillId="9" borderId="2" xfId="0" applyFill="1" applyBorder="1"/>
    <xf numFmtId="0" fontId="3" fillId="10" borderId="2" xfId="0" applyFont="1" applyFill="1" applyBorder="1" applyAlignment="1">
      <alignment vertical="top" wrapText="1"/>
    </xf>
    <xf numFmtId="0" fontId="3" fillId="10" borderId="2" xfId="0" applyFont="1" applyFill="1" applyBorder="1"/>
    <xf numFmtId="0" fontId="5" fillId="11" borderId="2" xfId="0" applyFont="1" applyFill="1" applyBorder="1"/>
    <xf numFmtId="0" fontId="0" fillId="11" borderId="2" xfId="0" applyFill="1" applyBorder="1"/>
    <xf numFmtId="0" fontId="3" fillId="12" borderId="2" xfId="0" applyFont="1" applyFill="1" applyBorder="1" applyAlignment="1">
      <alignment vertical="top" wrapText="1"/>
    </xf>
    <xf numFmtId="0" fontId="3" fillId="12" borderId="2" xfId="0" applyFont="1" applyFill="1" applyBorder="1"/>
    <xf numFmtId="0" fontId="5" fillId="13" borderId="2" xfId="0" applyFont="1" applyFill="1" applyBorder="1"/>
    <xf numFmtId="0" fontId="0" fillId="13" borderId="2" xfId="0" applyFill="1" applyBorder="1"/>
    <xf numFmtId="0" fontId="3" fillId="14" borderId="2" xfId="0" applyFont="1" applyFill="1" applyBorder="1" applyAlignment="1">
      <alignment vertical="top" wrapText="1"/>
    </xf>
    <xf numFmtId="0" fontId="3" fillId="14" borderId="2" xfId="0" applyFont="1" applyFill="1" applyBorder="1"/>
    <xf numFmtId="0" fontId="5" fillId="15" borderId="2" xfId="0" applyFont="1" applyFill="1" applyBorder="1"/>
    <xf numFmtId="0" fontId="0" fillId="15" borderId="2" xfId="0" applyFill="1" applyBorder="1"/>
    <xf numFmtId="0" fontId="0" fillId="13" borderId="0" xfId="0" applyFill="1"/>
    <xf numFmtId="0" fontId="18" fillId="13" borderId="2" xfId="0" applyFont="1" applyFill="1" applyBorder="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2CC"/>
      <rgbColor rgb="FFEFF3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F7F7F7"/>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1F32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Databases by Migration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'4. Dashboard'!$G$21:$G$29</c:f>
              <c:strCache>
                <c:ptCount val="9"/>
                <c:pt idx="0">
                  <c:v>Lift and Shift</c:v>
                </c:pt>
                <c:pt idx="1">
                  <c:v>Rehost</c:v>
                </c:pt>
                <c:pt idx="2">
                  <c:v>Replatform</c:v>
                </c:pt>
                <c:pt idx="3">
                  <c:v>Refactor</c:v>
                </c:pt>
                <c:pt idx="4">
                  <c:v>Repurchase</c:v>
                </c:pt>
                <c:pt idx="5">
                  <c:v>Retain</c:v>
                </c:pt>
                <c:pt idx="6">
                  <c:v>Retire</c:v>
                </c:pt>
                <c:pt idx="7">
                  <c:v>Pending analysis</c:v>
                </c:pt>
                <c:pt idx="8">
                  <c:v>Blocked</c:v>
                </c:pt>
              </c:strCache>
            </c:strRef>
          </c:cat>
          <c:val>
            <c:numRef>
              <c:f>'4. Dashboard'!$H$21:$H$29</c:f>
              <c:numCache>
                <c:formatCode>General</c:formatCode>
                <c:ptCount val="9"/>
                <c:pt idx="0">
                  <c:v>0</c:v>
                </c:pt>
                <c:pt idx="1">
                  <c:v>0</c:v>
                </c:pt>
                <c:pt idx="2">
                  <c:v>0</c:v>
                </c:pt>
                <c:pt idx="3">
                  <c:v>0</c:v>
                </c:pt>
                <c:pt idx="4">
                  <c:v>0</c:v>
                </c:pt>
                <c:pt idx="5">
                  <c:v>0</c:v>
                </c:pt>
                <c:pt idx="6">
                  <c:v>2</c:v>
                </c:pt>
                <c:pt idx="7">
                  <c:v>176</c:v>
                </c:pt>
                <c:pt idx="8">
                  <c:v>0</c:v>
                </c:pt>
              </c:numCache>
            </c:numRef>
          </c:val>
          <c:extLst>
            <c:ext xmlns:c16="http://schemas.microsoft.com/office/drawing/2014/chart" uri="{C3380CC4-5D6E-409C-BE32-E72D297353CC}">
              <c16:uniqueId val="{00000000-BA33-4E9E-9DFB-8C1DA3959350}"/>
            </c:ext>
          </c:extLst>
        </c:ser>
        <c:dLbls>
          <c:showLegendKey val="0"/>
          <c:showVal val="0"/>
          <c:showCatName val="0"/>
          <c:showSerName val="0"/>
          <c:showPercent val="0"/>
          <c:showBubbleSize val="0"/>
        </c:dLbls>
        <c:gapWidth val="219"/>
        <c:overlap val="-27"/>
        <c:axId val="820013103"/>
        <c:axId val="808374799"/>
      </c:barChart>
      <c:catAx>
        <c:axId val="82001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74799"/>
        <c:crosses val="autoZero"/>
        <c:auto val="1"/>
        <c:lblAlgn val="ctr"/>
        <c:lblOffset val="100"/>
        <c:noMultiLvlLbl val="0"/>
      </c:catAx>
      <c:valAx>
        <c:axId val="80837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0013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Servers by Environment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1"/>
          <c:order val="0"/>
          <c:tx>
            <c:strRef>
              <c:f>'4. Dashboard'!$A$11</c:f>
              <c:strCache>
                <c:ptCount val="1"/>
                <c:pt idx="0">
                  <c:v>Servers by Environment (fill col I on Tab 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9E-4BB3-B7CF-76DAF9449D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9E-4BB3-B7CF-76DAF9449D0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9E-4BB3-B7CF-76DAF9449D0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19E-4BB3-B7CF-76DAF9449D0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19E-4BB3-B7CF-76DAF9449D0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19E-4BB3-B7CF-76DAF9449D0D}"/>
              </c:ext>
            </c:extLst>
          </c:dPt>
          <c:cat>
            <c:strRef>
              <c:f>'4. Dashboard'!$A$12:$A$17</c:f>
              <c:strCache>
                <c:ptCount val="6"/>
                <c:pt idx="0">
                  <c:v>Production</c:v>
                </c:pt>
                <c:pt idx="1">
                  <c:v>Staging/UAT</c:v>
                </c:pt>
                <c:pt idx="2">
                  <c:v>QA</c:v>
                </c:pt>
                <c:pt idx="3">
                  <c:v>Development</c:v>
                </c:pt>
                <c:pt idx="4">
                  <c:v>DR</c:v>
                </c:pt>
                <c:pt idx="5">
                  <c:v>Pending validation</c:v>
                </c:pt>
              </c:strCache>
            </c:strRef>
          </c:cat>
          <c:val>
            <c:numRef>
              <c:f>'4. Dashboard'!$B$12:$B$17</c:f>
              <c:numCache>
                <c:formatCode>General</c:formatCode>
                <c:ptCount val="6"/>
                <c:pt idx="0">
                  <c:v>40</c:v>
                </c:pt>
                <c:pt idx="1">
                  <c:v>4</c:v>
                </c:pt>
                <c:pt idx="2">
                  <c:v>0</c:v>
                </c:pt>
                <c:pt idx="3">
                  <c:v>4</c:v>
                </c:pt>
                <c:pt idx="4">
                  <c:v>9</c:v>
                </c:pt>
                <c:pt idx="5">
                  <c:v>0</c:v>
                </c:pt>
              </c:numCache>
            </c:numRef>
          </c:val>
          <c:extLst>
            <c:ext xmlns:c16="http://schemas.microsoft.com/office/drawing/2014/chart" uri="{C3380CC4-5D6E-409C-BE32-E72D297353CC}">
              <c16:uniqueId val="{00000007-F7E7-4972-8612-3833AE10A20F}"/>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5</xdr:row>
      <xdr:rowOff>0</xdr:rowOff>
    </xdr:from>
    <xdr:to>
      <xdr:col>16</xdr:col>
      <xdr:colOff>0</xdr:colOff>
      <xdr:row>20</xdr:row>
      <xdr:rowOff>0</xdr:rowOff>
    </xdr:to>
    <xdr:graphicFrame macro="">
      <xdr:nvGraphicFramePr>
        <xdr:cNvPr id="5" name="Chart 4">
          <a:extLst>
            <a:ext uri="{FF2B5EF4-FFF2-40B4-BE49-F238E27FC236}">
              <a16:creationId xmlns:a16="http://schemas.microsoft.com/office/drawing/2014/main" id="{6D7D2A2F-1750-F5FB-9E70-7300B5C65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xdr:colOff>
      <xdr:row>21</xdr:row>
      <xdr:rowOff>0</xdr:rowOff>
    </xdr:from>
    <xdr:to>
      <xdr:col>14</xdr:col>
      <xdr:colOff>1</xdr:colOff>
      <xdr:row>34</xdr:row>
      <xdr:rowOff>0</xdr:rowOff>
    </xdr:to>
    <xdr:graphicFrame macro="">
      <xdr:nvGraphicFramePr>
        <xdr:cNvPr id="6" name="Chart 5">
          <a:extLst>
            <a:ext uri="{FF2B5EF4-FFF2-40B4-BE49-F238E27FC236}">
              <a16:creationId xmlns:a16="http://schemas.microsoft.com/office/drawing/2014/main" id="{91F093CD-1030-E072-EBA5-86C671ECC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1E2BE82-762F-4A9B-997E-4353A391B463}">
  <we:reference id="wa200009404" version="1.0.0.8" store="en-US" storeType="OMEX"/>
  <we:alternateReferences>
    <we:reference id="WA200009404" version="1.0.0.8" store="" storeType="OMEX"/>
  </we:alternateReferences>
  <we:properties>
    <we:property name="claude.fileId" value="&quot;61b53324-efad-4828-ba03-a19a9a724354&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9"/>
  <sheetViews>
    <sheetView showGridLines="0" zoomScaleNormal="100" workbookViewId="0">
      <selection activeCell="A2" sqref="A2"/>
    </sheetView>
  </sheetViews>
  <sheetFormatPr defaultColWidth="8.6640625" defaultRowHeight="14.4" x14ac:dyDescent="0.3"/>
  <cols>
    <col min="1" max="1" width="41.88671875" customWidth="1"/>
    <col min="2" max="2" width="118.109375" customWidth="1"/>
  </cols>
  <sheetData>
    <row r="1" spans="1:2" ht="21" x14ac:dyDescent="0.3">
      <c r="A1" s="12" t="s">
        <v>348</v>
      </c>
      <c r="B1" s="11"/>
    </row>
    <row r="2" spans="1:2" x14ac:dyDescent="0.3">
      <c r="A2" s="13" t="s">
        <v>349</v>
      </c>
      <c r="B2" s="11"/>
    </row>
    <row r="3" spans="1:2" x14ac:dyDescent="0.3">
      <c r="A3" s="10"/>
      <c r="B3" s="11"/>
    </row>
    <row r="4" spans="1:2" ht="15.6" x14ac:dyDescent="0.3">
      <c r="A4" s="15" t="s">
        <v>350</v>
      </c>
      <c r="B4" s="11"/>
    </row>
    <row r="5" spans="1:2" ht="22.8" x14ac:dyDescent="0.3">
      <c r="A5" s="16" t="s">
        <v>351</v>
      </c>
      <c r="B5" s="11" t="s">
        <v>352</v>
      </c>
    </row>
    <row r="6" spans="1:2" ht="22.8" x14ac:dyDescent="0.3">
      <c r="A6" s="17" t="s">
        <v>353</v>
      </c>
      <c r="B6" s="11" t="s">
        <v>354</v>
      </c>
    </row>
    <row r="7" spans="1:2" x14ac:dyDescent="0.3">
      <c r="A7" s="18" t="s">
        <v>355</v>
      </c>
      <c r="B7" s="11" t="s">
        <v>356</v>
      </c>
    </row>
    <row r="8" spans="1:2" x14ac:dyDescent="0.3">
      <c r="A8" s="14"/>
      <c r="B8" s="11"/>
    </row>
    <row r="9" spans="1:2" ht="15.6" x14ac:dyDescent="0.3">
      <c r="A9" s="15" t="s">
        <v>357</v>
      </c>
      <c r="B9" s="11"/>
    </row>
    <row r="10" spans="1:2" x14ac:dyDescent="0.3">
      <c r="A10" s="14" t="s">
        <v>48</v>
      </c>
      <c r="B10" s="11" t="s">
        <v>358</v>
      </c>
    </row>
    <row r="11" spans="1:2" x14ac:dyDescent="0.3">
      <c r="A11" s="14" t="s">
        <v>359</v>
      </c>
      <c r="B11" s="11" t="s">
        <v>360</v>
      </c>
    </row>
    <row r="12" spans="1:2" x14ac:dyDescent="0.3">
      <c r="A12" s="14" t="s">
        <v>8</v>
      </c>
      <c r="B12" s="11" t="s">
        <v>361</v>
      </c>
    </row>
    <row r="13" spans="1:2" x14ac:dyDescent="0.3">
      <c r="A13" s="14" t="s">
        <v>362</v>
      </c>
      <c r="B13" s="11" t="s">
        <v>363</v>
      </c>
    </row>
    <row r="14" spans="1:2" x14ac:dyDescent="0.3">
      <c r="A14" s="14" t="s">
        <v>364</v>
      </c>
      <c r="B14" s="11" t="s">
        <v>365</v>
      </c>
    </row>
    <row r="15" spans="1:2" x14ac:dyDescent="0.3">
      <c r="A15" s="14" t="s">
        <v>344</v>
      </c>
      <c r="B15" s="11" t="s">
        <v>366</v>
      </c>
    </row>
    <row r="16" spans="1:2" x14ac:dyDescent="0.3">
      <c r="A16" s="14" t="s">
        <v>345</v>
      </c>
      <c r="B16" s="11" t="s">
        <v>367</v>
      </c>
    </row>
    <row r="17" spans="1:2" x14ac:dyDescent="0.3">
      <c r="A17" s="14" t="s">
        <v>346</v>
      </c>
      <c r="B17" s="11" t="s">
        <v>368</v>
      </c>
    </row>
    <row r="18" spans="1:2" ht="22.8" x14ac:dyDescent="0.3">
      <c r="A18" s="14" t="s">
        <v>347</v>
      </c>
      <c r="B18" s="11" t="s">
        <v>369</v>
      </c>
    </row>
    <row r="19" spans="1:2" x14ac:dyDescent="0.3">
      <c r="A19" s="10"/>
      <c r="B19" s="11"/>
    </row>
    <row r="20" spans="1:2" ht="15.6" x14ac:dyDescent="0.3">
      <c r="A20" s="15" t="s">
        <v>370</v>
      </c>
      <c r="B20" s="11"/>
    </row>
    <row r="21" spans="1:2" x14ac:dyDescent="0.3">
      <c r="A21" s="14" t="s">
        <v>207</v>
      </c>
      <c r="B21" s="11" t="s">
        <v>371</v>
      </c>
    </row>
    <row r="22" spans="1:2" ht="22.8" x14ac:dyDescent="0.3">
      <c r="A22" s="14" t="s">
        <v>208</v>
      </c>
      <c r="B22" s="11" t="s">
        <v>372</v>
      </c>
    </row>
    <row r="23" spans="1:2" x14ac:dyDescent="0.3">
      <c r="A23" s="14" t="s">
        <v>373</v>
      </c>
      <c r="B23" s="11" t="s">
        <v>374</v>
      </c>
    </row>
    <row r="24" spans="1:2" x14ac:dyDescent="0.3">
      <c r="A24" s="14" t="s">
        <v>375</v>
      </c>
      <c r="B24" s="11" t="s">
        <v>376</v>
      </c>
    </row>
    <row r="25" spans="1:2" x14ac:dyDescent="0.3">
      <c r="A25" s="14" t="s">
        <v>214</v>
      </c>
      <c r="B25" s="11" t="s">
        <v>377</v>
      </c>
    </row>
    <row r="26" spans="1:2" ht="22.8" x14ac:dyDescent="0.3">
      <c r="A26" s="14" t="s">
        <v>330</v>
      </c>
      <c r="B26" s="11" t="s">
        <v>378</v>
      </c>
    </row>
    <row r="27" spans="1:2" ht="22.8" x14ac:dyDescent="0.3">
      <c r="A27" s="14" t="s">
        <v>331</v>
      </c>
      <c r="B27" s="11" t="s">
        <v>379</v>
      </c>
    </row>
    <row r="28" spans="1:2" ht="22.8" x14ac:dyDescent="0.3">
      <c r="A28" s="14" t="s">
        <v>380</v>
      </c>
      <c r="B28" s="11" t="s">
        <v>381</v>
      </c>
    </row>
    <row r="29" spans="1:2" x14ac:dyDescent="0.3">
      <c r="A29" s="10"/>
      <c r="B29" s="11"/>
    </row>
    <row r="30" spans="1:2" ht="22.8" x14ac:dyDescent="0.3">
      <c r="A30" s="14" t="s">
        <v>382</v>
      </c>
      <c r="B30" s="11" t="s">
        <v>383</v>
      </c>
    </row>
    <row r="31" spans="1:2" x14ac:dyDescent="0.3">
      <c r="A31" s="10"/>
      <c r="B31" s="11"/>
    </row>
    <row r="32" spans="1:2" ht="15.6" x14ac:dyDescent="0.3">
      <c r="A32" s="15" t="s">
        <v>384</v>
      </c>
      <c r="B32" s="11"/>
    </row>
    <row r="33" spans="1:2" x14ac:dyDescent="0.3">
      <c r="A33" s="10">
        <v>1</v>
      </c>
      <c r="B33" s="11" t="s">
        <v>385</v>
      </c>
    </row>
    <row r="34" spans="1:2" x14ac:dyDescent="0.3">
      <c r="A34" s="10">
        <v>2</v>
      </c>
      <c r="B34" s="11" t="s">
        <v>386</v>
      </c>
    </row>
    <row r="35" spans="1:2" x14ac:dyDescent="0.3">
      <c r="A35" s="10">
        <v>3</v>
      </c>
      <c r="B35" s="11" t="s">
        <v>387</v>
      </c>
    </row>
    <row r="36" spans="1:2" x14ac:dyDescent="0.3">
      <c r="A36" s="10">
        <v>4</v>
      </c>
      <c r="B36" s="11" t="s">
        <v>388</v>
      </c>
    </row>
    <row r="37" spans="1:2" x14ac:dyDescent="0.3">
      <c r="A37" s="10">
        <v>5</v>
      </c>
      <c r="B37" s="11" t="s">
        <v>389</v>
      </c>
    </row>
    <row r="38" spans="1:2" x14ac:dyDescent="0.3">
      <c r="A38" s="10">
        <v>6</v>
      </c>
      <c r="B38" s="11" t="s">
        <v>390</v>
      </c>
    </row>
    <row r="39" spans="1:2" x14ac:dyDescent="0.3">
      <c r="A39" s="10">
        <v>7</v>
      </c>
      <c r="B39" s="11" t="s">
        <v>391</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3"/>
  <sheetViews>
    <sheetView showGridLines="0" zoomScaleNormal="100" workbookViewId="0">
      <selection activeCell="G14" sqref="G14"/>
    </sheetView>
  </sheetViews>
  <sheetFormatPr defaultColWidth="8.6640625" defaultRowHeight="14.4" x14ac:dyDescent="0.3"/>
  <cols>
    <col min="1" max="8" width="26" customWidth="1"/>
  </cols>
  <sheetData>
    <row r="1" spans="1:11" ht="15.6" x14ac:dyDescent="0.3">
      <c r="A1" s="1" t="s">
        <v>0</v>
      </c>
    </row>
    <row r="3" spans="1:11" x14ac:dyDescent="0.3">
      <c r="A3" s="2" t="s">
        <v>1</v>
      </c>
      <c r="B3" s="2" t="s">
        <v>2</v>
      </c>
      <c r="C3" s="2" t="s">
        <v>3</v>
      </c>
      <c r="D3" s="2" t="s">
        <v>4</v>
      </c>
      <c r="E3" s="2" t="s">
        <v>5</v>
      </c>
      <c r="F3" s="2" t="s">
        <v>6</v>
      </c>
      <c r="G3" s="2" t="s">
        <v>7</v>
      </c>
      <c r="H3" s="2" t="s">
        <v>8</v>
      </c>
      <c r="I3" s="4" t="s">
        <v>331</v>
      </c>
      <c r="J3" s="4" t="s">
        <v>342</v>
      </c>
      <c r="K3" s="4" t="s">
        <v>343</v>
      </c>
    </row>
    <row r="4" spans="1:11" x14ac:dyDescent="0.3">
      <c r="A4" s="3" t="s">
        <v>9</v>
      </c>
      <c r="B4" s="3" t="s">
        <v>10</v>
      </c>
      <c r="C4" s="3" t="s">
        <v>11</v>
      </c>
      <c r="D4" s="3" t="s">
        <v>12</v>
      </c>
      <c r="E4" s="3" t="s">
        <v>13</v>
      </c>
      <c r="F4" s="3" t="s">
        <v>14</v>
      </c>
      <c r="G4" s="26" t="s">
        <v>594</v>
      </c>
      <c r="H4" s="3" t="s">
        <v>15</v>
      </c>
      <c r="I4" s="9" t="s">
        <v>334</v>
      </c>
      <c r="J4" s="9" t="s">
        <v>15</v>
      </c>
      <c r="K4" s="9" t="s">
        <v>334</v>
      </c>
    </row>
    <row r="5" spans="1:11" x14ac:dyDescent="0.3">
      <c r="A5" s="3" t="s">
        <v>16</v>
      </c>
      <c r="B5" s="3" t="s">
        <v>17</v>
      </c>
      <c r="C5" s="3" t="s">
        <v>18</v>
      </c>
      <c r="D5" s="3" t="s">
        <v>19</v>
      </c>
      <c r="E5" s="3" t="s">
        <v>20</v>
      </c>
      <c r="F5" s="3" t="s">
        <v>21</v>
      </c>
      <c r="G5" s="3" t="s">
        <v>22</v>
      </c>
      <c r="H5" s="3" t="s">
        <v>23</v>
      </c>
      <c r="I5" s="9" t="s">
        <v>335</v>
      </c>
      <c r="J5" s="9" t="s">
        <v>23</v>
      </c>
      <c r="K5" s="9" t="s">
        <v>335</v>
      </c>
    </row>
    <row r="6" spans="1:11" x14ac:dyDescent="0.3">
      <c r="A6" s="3" t="s">
        <v>24</v>
      </c>
      <c r="B6" s="3" t="s">
        <v>25</v>
      </c>
      <c r="C6" s="3" t="s">
        <v>26</v>
      </c>
      <c r="D6" s="3" t="s">
        <v>27</v>
      </c>
      <c r="E6" s="3" t="s">
        <v>28</v>
      </c>
      <c r="F6" s="3" t="s">
        <v>29</v>
      </c>
      <c r="G6" s="3" t="s">
        <v>30</v>
      </c>
      <c r="H6" s="3" t="s">
        <v>31</v>
      </c>
      <c r="I6" s="9" t="s">
        <v>336</v>
      </c>
      <c r="K6" s="9" t="s">
        <v>336</v>
      </c>
    </row>
    <row r="7" spans="1:11" x14ac:dyDescent="0.3">
      <c r="A7" s="3" t="s">
        <v>32</v>
      </c>
      <c r="B7" s="3" t="s">
        <v>33</v>
      </c>
      <c r="C7" s="3" t="s">
        <v>34</v>
      </c>
      <c r="D7" s="3" t="s">
        <v>35</v>
      </c>
      <c r="E7" s="3" t="s">
        <v>36</v>
      </c>
      <c r="F7" s="3" t="s">
        <v>37</v>
      </c>
      <c r="G7" s="3" t="s">
        <v>38</v>
      </c>
      <c r="I7" s="9" t="s">
        <v>337</v>
      </c>
    </row>
    <row r="8" spans="1:11" x14ac:dyDescent="0.3">
      <c r="A8" s="3" t="s">
        <v>39</v>
      </c>
      <c r="B8" s="3" t="s">
        <v>40</v>
      </c>
      <c r="C8" s="3" t="s">
        <v>33</v>
      </c>
      <c r="D8" s="3" t="s">
        <v>41</v>
      </c>
      <c r="E8" s="3" t="s">
        <v>42</v>
      </c>
      <c r="F8" s="3" t="s">
        <v>40</v>
      </c>
      <c r="G8" s="3" t="s">
        <v>43</v>
      </c>
      <c r="I8" s="9" t="s">
        <v>338</v>
      </c>
    </row>
    <row r="9" spans="1:11" x14ac:dyDescent="0.3">
      <c r="A9" s="3" t="s">
        <v>40</v>
      </c>
      <c r="C9" s="3" t="s">
        <v>40</v>
      </c>
      <c r="D9" s="3" t="s">
        <v>33</v>
      </c>
      <c r="E9" s="3" t="s">
        <v>44</v>
      </c>
      <c r="G9" s="3" t="s">
        <v>45</v>
      </c>
      <c r="I9" s="9" t="s">
        <v>339</v>
      </c>
    </row>
    <row r="10" spans="1:11" x14ac:dyDescent="0.3">
      <c r="D10" s="3" t="s">
        <v>40</v>
      </c>
      <c r="E10" s="3" t="s">
        <v>40</v>
      </c>
      <c r="G10" s="26" t="s">
        <v>502</v>
      </c>
      <c r="I10" s="9" t="s">
        <v>340</v>
      </c>
    </row>
    <row r="11" spans="1:11" x14ac:dyDescent="0.3">
      <c r="G11" s="3" t="s">
        <v>46</v>
      </c>
      <c r="I11" s="9" t="s">
        <v>332</v>
      </c>
    </row>
    <row r="12" spans="1:11" x14ac:dyDescent="0.3">
      <c r="G12" s="3" t="s">
        <v>47</v>
      </c>
      <c r="I12" s="9" t="s">
        <v>341</v>
      </c>
    </row>
    <row r="13" spans="1:11" x14ac:dyDescent="0.3">
      <c r="G13" s="26" t="s">
        <v>595</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9"/>
  <sheetViews>
    <sheetView showGridLines="0" tabSelected="1" zoomScale="130" zoomScaleNormal="130" workbookViewId="0">
      <pane xSplit="2" ySplit="1" topLeftCell="Q42" activePane="bottomRight" state="frozen"/>
      <selection pane="topRight" activeCell="C1" sqref="C1"/>
      <selection pane="bottomLeft" activeCell="A3" sqref="A3"/>
      <selection pane="bottomRight" activeCell="B3" sqref="B3"/>
    </sheetView>
  </sheetViews>
  <sheetFormatPr defaultColWidth="8.6640625" defaultRowHeight="14.4" x14ac:dyDescent="0.3"/>
  <cols>
    <col min="1" max="1" width="10.33203125" bestFit="1" customWidth="1"/>
    <col min="2" max="2" width="24.33203125" bestFit="1" customWidth="1"/>
    <col min="3" max="3" width="13.44140625" bestFit="1" customWidth="1"/>
    <col min="4" max="4" width="11.44140625" bestFit="1" customWidth="1"/>
    <col min="5" max="5" width="10" customWidth="1"/>
    <col min="6" max="6" width="29.44140625" bestFit="1" customWidth="1"/>
    <col min="7" max="7" width="8.6640625" bestFit="1" customWidth="1"/>
    <col min="8" max="8" width="14" customWidth="1"/>
    <col min="9" max="9" width="13.44140625" bestFit="1" customWidth="1"/>
    <col min="10" max="10" width="19.33203125" customWidth="1"/>
    <col min="11" max="11" width="10.88671875" bestFit="1" customWidth="1"/>
    <col min="12" max="12" width="9.109375" bestFit="1" customWidth="1"/>
    <col min="13" max="13" width="24.88671875" bestFit="1" customWidth="1"/>
    <col min="14" max="14" width="23" bestFit="1" customWidth="1"/>
    <col min="15" max="15" width="17.6640625" bestFit="1" customWidth="1"/>
    <col min="16" max="16" width="15.44140625" bestFit="1" customWidth="1"/>
    <col min="17" max="17" width="18.44140625" bestFit="1" customWidth="1"/>
    <col min="18" max="18" width="13.44140625" bestFit="1" customWidth="1"/>
    <col min="19" max="19" width="18" bestFit="1" customWidth="1"/>
    <col min="20" max="20" width="40.44140625" bestFit="1" customWidth="1"/>
    <col min="21" max="21" width="50.109375" customWidth="1"/>
  </cols>
  <sheetData>
    <row r="1" spans="1:21" s="24" customFormat="1" ht="30" customHeight="1" x14ac:dyDescent="0.3">
      <c r="A1" s="25" t="s">
        <v>48</v>
      </c>
      <c r="B1" s="25" t="s">
        <v>49</v>
      </c>
      <c r="C1" s="25" t="s">
        <v>50</v>
      </c>
      <c r="D1" s="25" t="s">
        <v>51</v>
      </c>
      <c r="E1" s="25" t="s">
        <v>52</v>
      </c>
      <c r="F1" s="25" t="s">
        <v>53</v>
      </c>
      <c r="G1" s="25" t="s">
        <v>54</v>
      </c>
      <c r="H1" s="25" t="s">
        <v>8</v>
      </c>
      <c r="I1" s="25" t="s">
        <v>1</v>
      </c>
      <c r="J1" s="25" t="s">
        <v>2</v>
      </c>
      <c r="K1" s="25" t="s">
        <v>3</v>
      </c>
      <c r="L1" s="25" t="s">
        <v>4</v>
      </c>
      <c r="M1" s="25" t="s">
        <v>38</v>
      </c>
      <c r="N1" s="25" t="s">
        <v>55</v>
      </c>
      <c r="O1" s="25" t="s">
        <v>7</v>
      </c>
      <c r="P1" s="25" t="s">
        <v>344</v>
      </c>
      <c r="Q1" s="25" t="s">
        <v>345</v>
      </c>
      <c r="R1" s="25" t="s">
        <v>346</v>
      </c>
      <c r="S1" s="25" t="s">
        <v>347</v>
      </c>
      <c r="T1" s="25" t="s">
        <v>56</v>
      </c>
      <c r="U1" s="25" t="s">
        <v>993</v>
      </c>
    </row>
    <row r="2" spans="1:21" s="63" customFormat="1" ht="34.200000000000003" x14ac:dyDescent="0.3">
      <c r="A2" s="60" t="s">
        <v>57</v>
      </c>
      <c r="B2" s="60" t="s">
        <v>58</v>
      </c>
      <c r="C2" s="60" t="s">
        <v>59</v>
      </c>
      <c r="D2" s="60" t="s">
        <v>60</v>
      </c>
      <c r="E2" s="60" t="s">
        <v>61</v>
      </c>
      <c r="F2" s="60" t="s">
        <v>62</v>
      </c>
      <c r="G2" s="60" t="s">
        <v>63</v>
      </c>
      <c r="H2" s="60" t="str">
        <f t="shared" ref="H2:H35" si="0">IF(ISNUMBER(SEARCH("Microsoft SQL Server",F2)),"Yes","No")</f>
        <v>No</v>
      </c>
      <c r="I2" s="61" t="s">
        <v>39</v>
      </c>
      <c r="J2" s="61"/>
      <c r="K2" s="61"/>
      <c r="L2" s="61"/>
      <c r="M2" s="61"/>
      <c r="N2" s="61"/>
      <c r="O2" s="61" t="s">
        <v>22</v>
      </c>
      <c r="P2" s="62" t="s">
        <v>23</v>
      </c>
      <c r="Q2" s="62" t="s">
        <v>23</v>
      </c>
      <c r="R2" s="62">
        <f>COUNTIF('3. Databases'!$B$2:$B$192,$A2)</f>
        <v>0</v>
      </c>
      <c r="S2" s="62" cm="1">
        <f t="array" ref="S2">SUMPRODUCT(('3. Databases'!$B$2:$B$192=$A2)*COUNTIF('Lists (Config)'!$K$4:$K$6,'3. Databases'!$R$2:$R$192))</f>
        <v>0</v>
      </c>
      <c r="T2" s="63" t="s">
        <v>984</v>
      </c>
    </row>
    <row r="3" spans="1:21" s="63" customFormat="1" ht="55.2" x14ac:dyDescent="0.3">
      <c r="A3" s="60" t="s">
        <v>64</v>
      </c>
      <c r="B3" s="60" t="s">
        <v>65</v>
      </c>
      <c r="C3" s="60" t="s">
        <v>66</v>
      </c>
      <c r="D3" s="60" t="s">
        <v>67</v>
      </c>
      <c r="E3" s="60" t="s">
        <v>61</v>
      </c>
      <c r="F3" s="60" t="s">
        <v>68</v>
      </c>
      <c r="G3" s="60" t="s">
        <v>69</v>
      </c>
      <c r="H3" s="60" t="str">
        <f t="shared" si="0"/>
        <v>Yes</v>
      </c>
      <c r="I3" s="61" t="s">
        <v>9</v>
      </c>
      <c r="J3" s="61" t="s">
        <v>25</v>
      </c>
      <c r="K3" s="61" t="s">
        <v>18</v>
      </c>
      <c r="L3" s="61" t="s">
        <v>39</v>
      </c>
      <c r="M3" s="61" t="s">
        <v>1127</v>
      </c>
      <c r="N3" s="61" t="s">
        <v>977</v>
      </c>
      <c r="O3" s="61" t="s">
        <v>22</v>
      </c>
      <c r="P3" s="62" t="s">
        <v>23</v>
      </c>
      <c r="Q3" s="62" t="s">
        <v>23</v>
      </c>
      <c r="R3" s="62">
        <f>COUNTIF('3. Databases'!$B$2:$B$192,$A3)</f>
        <v>40</v>
      </c>
      <c r="S3" s="62" cm="1">
        <f t="array" ref="S3">SUMPRODUCT(('3. Databases'!$B$2:$B$192=$A3)*COUNTIF('Lists (Config)'!$K$4:$K$6,'3. Databases'!$R$2:$R$192))</f>
        <v>0</v>
      </c>
      <c r="T3" s="63" t="s">
        <v>985</v>
      </c>
      <c r="U3" s="69" t="s">
        <v>995</v>
      </c>
    </row>
    <row r="4" spans="1:21" s="63" customFormat="1" ht="22.8" x14ac:dyDescent="0.3">
      <c r="A4" s="60" t="s">
        <v>70</v>
      </c>
      <c r="B4" s="60" t="s">
        <v>65</v>
      </c>
      <c r="C4" s="60" t="s">
        <v>66</v>
      </c>
      <c r="D4" s="60" t="s">
        <v>67</v>
      </c>
      <c r="E4" s="60" t="s">
        <v>61</v>
      </c>
      <c r="F4" s="60" t="s">
        <v>71</v>
      </c>
      <c r="G4" s="60" t="s">
        <v>63</v>
      </c>
      <c r="H4" s="60" t="str">
        <f t="shared" si="0"/>
        <v>No</v>
      </c>
      <c r="I4" s="61" t="s">
        <v>9</v>
      </c>
      <c r="J4" s="61" t="s">
        <v>33</v>
      </c>
      <c r="K4" s="61" t="s">
        <v>18</v>
      </c>
      <c r="L4" s="61" t="s">
        <v>39</v>
      </c>
      <c r="M4" s="61" t="s">
        <v>976</v>
      </c>
      <c r="N4" s="61"/>
      <c r="O4" s="61" t="s">
        <v>22</v>
      </c>
      <c r="P4" s="62" t="s">
        <v>23</v>
      </c>
      <c r="Q4" s="62" t="s">
        <v>23</v>
      </c>
      <c r="R4" s="62">
        <f>COUNTIF('3. Databases'!$B$2:$B$192,$A4)</f>
        <v>0</v>
      </c>
      <c r="S4" s="62" cm="1">
        <f t="array" ref="S4">SUMPRODUCT(('3. Databases'!$B$2:$B$192=$A4)*COUNTIF('Lists (Config)'!$K$4:$K$6,'3. Databases'!$R$2:$R$192))</f>
        <v>0</v>
      </c>
      <c r="T4" s="63" t="s">
        <v>986</v>
      </c>
    </row>
    <row r="5" spans="1:21" s="63" customFormat="1" ht="22.8" x14ac:dyDescent="0.3">
      <c r="A5" s="60" t="s">
        <v>72</v>
      </c>
      <c r="B5" s="60" t="s">
        <v>65</v>
      </c>
      <c r="C5" s="60" t="s">
        <v>66</v>
      </c>
      <c r="D5" s="60" t="s">
        <v>67</v>
      </c>
      <c r="E5" s="60" t="s">
        <v>61</v>
      </c>
      <c r="F5" s="60" t="s">
        <v>62</v>
      </c>
      <c r="G5" s="60" t="s">
        <v>63</v>
      </c>
      <c r="H5" s="60" t="str">
        <f t="shared" si="0"/>
        <v>No</v>
      </c>
      <c r="I5" s="61" t="s">
        <v>9</v>
      </c>
      <c r="J5" s="61" t="s">
        <v>33</v>
      </c>
      <c r="K5" s="61" t="s">
        <v>18</v>
      </c>
      <c r="L5" s="61" t="s">
        <v>39</v>
      </c>
      <c r="M5" s="61" t="s">
        <v>976</v>
      </c>
      <c r="N5" s="61"/>
      <c r="O5" s="61" t="s">
        <v>22</v>
      </c>
      <c r="P5" s="62" t="s">
        <v>23</v>
      </c>
      <c r="Q5" s="62" t="s">
        <v>23</v>
      </c>
      <c r="R5" s="62">
        <f>COUNTIF('3. Databases'!$B$2:$B$192,$A5)</f>
        <v>0</v>
      </c>
      <c r="S5" s="62" cm="1">
        <f t="array" ref="S5">SUMPRODUCT(('3. Databases'!$B$2:$B$192=$A5)*COUNTIF('Lists (Config)'!$K$4:$K$6,'3. Databases'!$R$2:$R$192))</f>
        <v>0</v>
      </c>
      <c r="T5" s="63" t="s">
        <v>986</v>
      </c>
    </row>
    <row r="6" spans="1:21" s="63" customFormat="1" x14ac:dyDescent="0.3">
      <c r="A6" s="60" t="s">
        <v>73</v>
      </c>
      <c r="B6" s="60" t="s">
        <v>74</v>
      </c>
      <c r="C6" s="60" t="s">
        <v>75</v>
      </c>
      <c r="D6" s="60" t="s">
        <v>67</v>
      </c>
      <c r="E6" s="60" t="s">
        <v>76</v>
      </c>
      <c r="F6" s="60" t="s">
        <v>77</v>
      </c>
      <c r="G6" s="60" t="s">
        <v>78</v>
      </c>
      <c r="H6" s="60" t="str">
        <f t="shared" si="0"/>
        <v>Yes</v>
      </c>
      <c r="I6" s="61" t="s">
        <v>9</v>
      </c>
      <c r="J6" s="61"/>
      <c r="K6" s="61" t="s">
        <v>18</v>
      </c>
      <c r="L6" s="61" t="s">
        <v>39</v>
      </c>
      <c r="M6" s="61" t="s">
        <v>976</v>
      </c>
      <c r="N6" s="61" t="s">
        <v>976</v>
      </c>
      <c r="O6" s="61" t="s">
        <v>22</v>
      </c>
      <c r="P6" s="62" t="s">
        <v>23</v>
      </c>
      <c r="Q6" s="62" t="s">
        <v>23</v>
      </c>
      <c r="R6" s="62">
        <f>COUNTIF('3. Databases'!$B$2:$B$192,$A6)</f>
        <v>0</v>
      </c>
      <c r="S6" s="62" cm="1">
        <f t="array" ref="S6">SUMPRODUCT(('3. Databases'!$B$2:$B$192=$A6)*COUNTIF('Lists (Config)'!$K$4:$K$6,'3. Databases'!$R$2:$R$192))</f>
        <v>0</v>
      </c>
      <c r="T6" s="63" t="s">
        <v>987</v>
      </c>
      <c r="U6" s="63" t="s">
        <v>994</v>
      </c>
    </row>
    <row r="7" spans="1:21" s="55" customFormat="1" ht="22.8" x14ac:dyDescent="0.3">
      <c r="A7" s="52" t="s">
        <v>83</v>
      </c>
      <c r="B7" s="52" t="s">
        <v>80</v>
      </c>
      <c r="C7" s="52" t="s">
        <v>81</v>
      </c>
      <c r="D7" s="52" t="s">
        <v>67</v>
      </c>
      <c r="E7" s="52" t="s">
        <v>76</v>
      </c>
      <c r="F7" s="52" t="s">
        <v>84</v>
      </c>
      <c r="G7" s="52" t="s">
        <v>78</v>
      </c>
      <c r="H7" s="52" t="str">
        <f t="shared" si="0"/>
        <v>Yes</v>
      </c>
      <c r="I7" s="53" t="s">
        <v>9</v>
      </c>
      <c r="J7" s="53"/>
      <c r="K7" s="53"/>
      <c r="L7" s="53" t="s">
        <v>39</v>
      </c>
      <c r="M7" s="53" t="s">
        <v>976</v>
      </c>
      <c r="N7" s="53"/>
      <c r="O7" s="53" t="s">
        <v>22</v>
      </c>
      <c r="P7" s="54" t="s">
        <v>23</v>
      </c>
      <c r="Q7" s="54" t="s">
        <v>23</v>
      </c>
      <c r="R7" s="54">
        <f>COUNTIF('3. Databases'!$B$2:$B$192,$A7)</f>
        <v>0</v>
      </c>
      <c r="S7" s="54" cm="1">
        <f t="array" ref="S7">SUMPRODUCT(('3. Databases'!$B$2:$B$192=$A7)*COUNTIF('Lists (Config)'!$K$4:$K$6,'3. Databases'!$R$2:$R$192))</f>
        <v>0</v>
      </c>
      <c r="T7" s="55" t="s">
        <v>986</v>
      </c>
      <c r="U7" s="55" t="s">
        <v>1053</v>
      </c>
    </row>
    <row r="8" spans="1:21" s="55" customFormat="1" ht="22.8" x14ac:dyDescent="0.3">
      <c r="A8" s="52" t="s">
        <v>79</v>
      </c>
      <c r="B8" s="52" t="s">
        <v>80</v>
      </c>
      <c r="C8" s="52" t="s">
        <v>81</v>
      </c>
      <c r="D8" s="52" t="s">
        <v>67</v>
      </c>
      <c r="E8" s="52" t="s">
        <v>76</v>
      </c>
      <c r="F8" s="52" t="s">
        <v>82</v>
      </c>
      <c r="G8" s="52" t="s">
        <v>78</v>
      </c>
      <c r="H8" s="52" t="str">
        <f t="shared" si="0"/>
        <v>Yes</v>
      </c>
      <c r="I8" s="53" t="s">
        <v>9</v>
      </c>
      <c r="J8" s="53"/>
      <c r="K8" s="53" t="s">
        <v>18</v>
      </c>
      <c r="L8" s="53" t="s">
        <v>39</v>
      </c>
      <c r="M8" s="53" t="s">
        <v>976</v>
      </c>
      <c r="N8" s="53" t="s">
        <v>976</v>
      </c>
      <c r="O8" s="53" t="s">
        <v>22</v>
      </c>
      <c r="P8" s="54" t="s">
        <v>15</v>
      </c>
      <c r="Q8" s="54" t="s">
        <v>23</v>
      </c>
      <c r="R8" s="54">
        <f>COUNTIF('3. Databases'!$B$2:$B$192,$A8)</f>
        <v>23</v>
      </c>
      <c r="S8" s="54" cm="1">
        <f t="array" ref="S8">SUMPRODUCT(('3. Databases'!$B$2:$B$192=$A8)*COUNTIF('Lists (Config)'!$K$4:$K$6,'3. Databases'!$R$2:$R$192))</f>
        <v>0</v>
      </c>
      <c r="T8" s="55" t="s">
        <v>987</v>
      </c>
    </row>
    <row r="9" spans="1:21" s="55" customFormat="1" x14ac:dyDescent="0.3">
      <c r="A9" s="52" t="s">
        <v>85</v>
      </c>
      <c r="B9" s="52" t="s">
        <v>86</v>
      </c>
      <c r="C9" s="52" t="s">
        <v>87</v>
      </c>
      <c r="D9" s="52" t="s">
        <v>67</v>
      </c>
      <c r="E9" s="52" t="s">
        <v>76</v>
      </c>
      <c r="F9" s="52" t="s">
        <v>68</v>
      </c>
      <c r="G9" s="52" t="s">
        <v>69</v>
      </c>
      <c r="H9" s="52" t="str">
        <f t="shared" si="0"/>
        <v>Yes</v>
      </c>
      <c r="I9" s="53" t="s">
        <v>9</v>
      </c>
      <c r="J9" s="53"/>
      <c r="K9" s="53" t="s">
        <v>18</v>
      </c>
      <c r="L9" s="53" t="s">
        <v>39</v>
      </c>
      <c r="M9" s="53" t="s">
        <v>976</v>
      </c>
      <c r="N9" s="53"/>
      <c r="O9" s="53" t="s">
        <v>22</v>
      </c>
      <c r="P9" s="54" t="s">
        <v>23</v>
      </c>
      <c r="Q9" s="54" t="s">
        <v>23</v>
      </c>
      <c r="R9" s="54">
        <f>COUNTIF('3. Databases'!$B$2:$B$192,$A9)</f>
        <v>0</v>
      </c>
      <c r="S9" s="54" cm="1">
        <f t="array" ref="S9">SUMPRODUCT(('3. Databases'!$B$2:$B$192=$A9)*COUNTIF('Lists (Config)'!$K$4:$K$6,'3. Databases'!$R$2:$R$192))</f>
        <v>0</v>
      </c>
      <c r="T9" s="55" t="s">
        <v>985</v>
      </c>
      <c r="U9" s="55" t="s">
        <v>1050</v>
      </c>
    </row>
    <row r="10" spans="1:21" s="55" customFormat="1" x14ac:dyDescent="0.3">
      <c r="A10" s="52" t="s">
        <v>88</v>
      </c>
      <c r="B10" s="52" t="s">
        <v>89</v>
      </c>
      <c r="C10" s="52" t="s">
        <v>90</v>
      </c>
      <c r="D10" s="52" t="s">
        <v>60</v>
      </c>
      <c r="E10" s="52" t="s">
        <v>76</v>
      </c>
      <c r="F10" s="52" t="s">
        <v>91</v>
      </c>
      <c r="G10" s="52" t="s">
        <v>69</v>
      </c>
      <c r="H10" s="52" t="str">
        <f t="shared" si="0"/>
        <v>Yes</v>
      </c>
      <c r="I10" s="53" t="s">
        <v>39</v>
      </c>
      <c r="J10" s="53" t="s">
        <v>10</v>
      </c>
      <c r="K10" s="53" t="s">
        <v>18</v>
      </c>
      <c r="L10" s="53" t="s">
        <v>39</v>
      </c>
      <c r="M10" s="53" t="s">
        <v>976</v>
      </c>
      <c r="N10" s="53" t="s">
        <v>977</v>
      </c>
      <c r="O10" s="53" t="s">
        <v>22</v>
      </c>
      <c r="P10" s="54" t="s">
        <v>23</v>
      </c>
      <c r="Q10" s="54" t="s">
        <v>23</v>
      </c>
      <c r="R10" s="54">
        <f>COUNTIF('3. Databases'!$B$2:$B$192,$A10)</f>
        <v>0</v>
      </c>
      <c r="S10" s="54" cm="1">
        <f t="array" ref="S10">SUMPRODUCT(('3. Databases'!$B$2:$B$192=$A10)*COUNTIF('Lists (Config)'!$K$4:$K$6,'3. Databases'!$R$2:$R$192))</f>
        <v>0</v>
      </c>
      <c r="T10" s="55" t="s">
        <v>985</v>
      </c>
      <c r="U10" s="55" t="s">
        <v>1050</v>
      </c>
    </row>
    <row r="11" spans="1:21" s="63" customFormat="1" ht="22.8" x14ac:dyDescent="0.3">
      <c r="A11" s="60" t="s">
        <v>92</v>
      </c>
      <c r="B11" s="60" t="s">
        <v>93</v>
      </c>
      <c r="C11" s="60" t="s">
        <v>94</v>
      </c>
      <c r="D11" s="60" t="s">
        <v>67</v>
      </c>
      <c r="E11" s="60" t="s">
        <v>76</v>
      </c>
      <c r="F11" s="60" t="s">
        <v>62</v>
      </c>
      <c r="G11" s="60" t="s">
        <v>63</v>
      </c>
      <c r="H11" s="60" t="str">
        <f t="shared" si="0"/>
        <v>No</v>
      </c>
      <c r="I11" s="61" t="s">
        <v>9</v>
      </c>
      <c r="J11" s="61" t="s">
        <v>10</v>
      </c>
      <c r="K11" s="61" t="s">
        <v>26</v>
      </c>
      <c r="L11" s="61" t="s">
        <v>39</v>
      </c>
      <c r="M11" s="61" t="s">
        <v>1127</v>
      </c>
      <c r="N11" s="61" t="s">
        <v>977</v>
      </c>
      <c r="O11" s="61" t="s">
        <v>22</v>
      </c>
      <c r="P11" s="62" t="s">
        <v>23</v>
      </c>
      <c r="Q11" s="62" t="s">
        <v>23</v>
      </c>
      <c r="R11" s="62">
        <f>COUNTIF('3. Databases'!$B$2:$B$192,$A11)</f>
        <v>0</v>
      </c>
      <c r="S11" s="62" cm="1">
        <f t="array" ref="S11">SUMPRODUCT(('3. Databases'!$B$2:$B$192=$A11)*COUNTIF('Lists (Config)'!$K$4:$K$6,'3. Databases'!$R$2:$R$192))</f>
        <v>0</v>
      </c>
      <c r="T11" s="63" t="s">
        <v>987</v>
      </c>
    </row>
    <row r="12" spans="1:21" s="63" customFormat="1" ht="22.8" x14ac:dyDescent="0.3">
      <c r="A12" s="60" t="s">
        <v>95</v>
      </c>
      <c r="B12" s="60" t="s">
        <v>96</v>
      </c>
      <c r="C12" s="60" t="s">
        <v>97</v>
      </c>
      <c r="D12" s="60" t="s">
        <v>98</v>
      </c>
      <c r="E12" s="60" t="s">
        <v>76</v>
      </c>
      <c r="F12" s="60" t="s">
        <v>99</v>
      </c>
      <c r="G12" s="60" t="s">
        <v>63</v>
      </c>
      <c r="H12" s="60" t="str">
        <f t="shared" si="0"/>
        <v>Yes</v>
      </c>
      <c r="I12" s="61" t="s">
        <v>9</v>
      </c>
      <c r="J12" s="61"/>
      <c r="K12" s="61" t="s">
        <v>26</v>
      </c>
      <c r="L12" s="61" t="s">
        <v>39</v>
      </c>
      <c r="M12" s="61" t="s">
        <v>976</v>
      </c>
      <c r="N12" s="61"/>
      <c r="O12" s="61" t="s">
        <v>22</v>
      </c>
      <c r="P12" s="62" t="s">
        <v>23</v>
      </c>
      <c r="Q12" s="62" t="s">
        <v>23</v>
      </c>
      <c r="R12" s="62">
        <f>COUNTIF('3. Databases'!$B$2:$B$192,$A12)</f>
        <v>0</v>
      </c>
      <c r="S12" s="62" cm="1">
        <f t="array" ref="S12">SUMPRODUCT(('3. Databases'!$B$2:$B$192=$A12)*COUNTIF('Lists (Config)'!$K$4:$K$6,'3. Databases'!$R$2:$R$192))</f>
        <v>0</v>
      </c>
      <c r="T12" s="63" t="s">
        <v>987</v>
      </c>
      <c r="U12" s="63" t="s">
        <v>1050</v>
      </c>
    </row>
    <row r="13" spans="1:21" s="63" customFormat="1" x14ac:dyDescent="0.3">
      <c r="A13" s="60" t="s">
        <v>100</v>
      </c>
      <c r="B13" s="60" t="s">
        <v>101</v>
      </c>
      <c r="C13" s="60" t="s">
        <v>102</v>
      </c>
      <c r="D13" s="60" t="s">
        <v>67</v>
      </c>
      <c r="E13" s="60" t="s">
        <v>76</v>
      </c>
      <c r="F13" s="60" t="s">
        <v>103</v>
      </c>
      <c r="G13" s="60" t="s">
        <v>63</v>
      </c>
      <c r="H13" s="60" t="str">
        <f t="shared" si="0"/>
        <v>No</v>
      </c>
      <c r="I13" s="61" t="s">
        <v>9</v>
      </c>
      <c r="J13" s="61"/>
      <c r="K13" s="61"/>
      <c r="L13" s="61" t="s">
        <v>39</v>
      </c>
      <c r="M13" s="61" t="s">
        <v>976</v>
      </c>
      <c r="N13" s="61"/>
      <c r="O13" s="61" t="s">
        <v>22</v>
      </c>
      <c r="P13" s="62" t="s">
        <v>23</v>
      </c>
      <c r="Q13" s="62" t="s">
        <v>23</v>
      </c>
      <c r="R13" s="62">
        <f>COUNTIF('3. Databases'!$B$2:$B$192,$A13)</f>
        <v>0</v>
      </c>
      <c r="S13" s="62" cm="1">
        <f t="array" ref="S13">SUMPRODUCT(('3. Databases'!$B$2:$B$192=$A13)*COUNTIF('Lists (Config)'!$K$4:$K$6,'3. Databases'!$R$2:$R$192))</f>
        <v>0</v>
      </c>
      <c r="T13" s="63" t="s">
        <v>984</v>
      </c>
    </row>
    <row r="14" spans="1:21" s="63" customFormat="1" x14ac:dyDescent="0.3">
      <c r="A14" s="60" t="s">
        <v>104</v>
      </c>
      <c r="B14" s="60" t="s">
        <v>105</v>
      </c>
      <c r="C14" s="60" t="s">
        <v>106</v>
      </c>
      <c r="D14" s="60" t="s">
        <v>67</v>
      </c>
      <c r="E14" s="60" t="s">
        <v>76</v>
      </c>
      <c r="F14" s="60" t="s">
        <v>91</v>
      </c>
      <c r="G14" s="60" t="s">
        <v>69</v>
      </c>
      <c r="H14" s="60" t="str">
        <f t="shared" si="0"/>
        <v>Yes</v>
      </c>
      <c r="I14" s="61" t="s">
        <v>9</v>
      </c>
      <c r="J14" s="61"/>
      <c r="K14" s="61"/>
      <c r="L14" s="61" t="s">
        <v>39</v>
      </c>
      <c r="M14" s="61" t="s">
        <v>976</v>
      </c>
      <c r="N14" s="61"/>
      <c r="O14" s="61" t="s">
        <v>22</v>
      </c>
      <c r="P14" s="62" t="s">
        <v>23</v>
      </c>
      <c r="Q14" s="62" t="s">
        <v>23</v>
      </c>
      <c r="R14" s="62">
        <f>COUNTIF('3. Databases'!$B$2:$B$192,$A14)</f>
        <v>0</v>
      </c>
      <c r="S14" s="62" cm="1">
        <f t="array" ref="S14">SUMPRODUCT(('3. Databases'!$B$2:$B$192=$A14)*COUNTIF('Lists (Config)'!$K$4:$K$6,'3. Databases'!$R$2:$R$192))</f>
        <v>0</v>
      </c>
      <c r="T14" s="63" t="s">
        <v>987</v>
      </c>
      <c r="U14" s="63" t="s">
        <v>1050</v>
      </c>
    </row>
    <row r="15" spans="1:21" s="55" customFormat="1" x14ac:dyDescent="0.3">
      <c r="A15" s="52" t="s">
        <v>107</v>
      </c>
      <c r="B15" s="52" t="s">
        <v>108</v>
      </c>
      <c r="C15" s="52" t="s">
        <v>109</v>
      </c>
      <c r="D15" s="52" t="s">
        <v>67</v>
      </c>
      <c r="E15" s="52" t="s">
        <v>76</v>
      </c>
      <c r="F15" s="52" t="s">
        <v>91</v>
      </c>
      <c r="G15" s="52" t="s">
        <v>69</v>
      </c>
      <c r="H15" s="52" t="str">
        <f t="shared" si="0"/>
        <v>Yes</v>
      </c>
      <c r="I15" s="53" t="s">
        <v>9</v>
      </c>
      <c r="J15" s="53" t="s">
        <v>10</v>
      </c>
      <c r="K15" s="53" t="s">
        <v>26</v>
      </c>
      <c r="L15" s="53" t="s">
        <v>39</v>
      </c>
      <c r="M15" s="53" t="s">
        <v>976</v>
      </c>
      <c r="N15" s="53" t="s">
        <v>978</v>
      </c>
      <c r="O15" s="53" t="s">
        <v>22</v>
      </c>
      <c r="P15" s="54" t="s">
        <v>23</v>
      </c>
      <c r="Q15" s="54" t="s">
        <v>23</v>
      </c>
      <c r="R15" s="54">
        <f>COUNTIF('3. Databases'!$B$2:$B$192,$A15)</f>
        <v>0</v>
      </c>
      <c r="S15" s="54" cm="1">
        <f t="array" ref="S15">SUMPRODUCT(('3. Databases'!$B$2:$B$192=$A15)*COUNTIF('Lists (Config)'!$K$4:$K$6,'3. Databases'!$R$2:$R$192))</f>
        <v>0</v>
      </c>
      <c r="T15" s="55" t="s">
        <v>985</v>
      </c>
      <c r="U15" s="55" t="s">
        <v>1050</v>
      </c>
    </row>
    <row r="16" spans="1:21" s="55" customFormat="1" x14ac:dyDescent="0.3">
      <c r="A16" s="52" t="s">
        <v>110</v>
      </c>
      <c r="B16" s="52" t="s">
        <v>111</v>
      </c>
      <c r="C16" s="52" t="s">
        <v>112</v>
      </c>
      <c r="D16" s="52" t="s">
        <v>67</v>
      </c>
      <c r="E16" s="52" t="s">
        <v>76</v>
      </c>
      <c r="F16" s="52" t="s">
        <v>91</v>
      </c>
      <c r="G16" s="52" t="s">
        <v>69</v>
      </c>
      <c r="H16" s="52" t="str">
        <f t="shared" si="0"/>
        <v>Yes</v>
      </c>
      <c r="I16" s="53" t="s">
        <v>9</v>
      </c>
      <c r="J16" s="53" t="s">
        <v>10</v>
      </c>
      <c r="K16" s="53" t="s">
        <v>18</v>
      </c>
      <c r="L16" s="53" t="s">
        <v>39</v>
      </c>
      <c r="M16" s="53" t="s">
        <v>976</v>
      </c>
      <c r="N16" s="53" t="s">
        <v>979</v>
      </c>
      <c r="O16" s="53" t="s">
        <v>22</v>
      </c>
      <c r="P16" s="54" t="s">
        <v>15</v>
      </c>
      <c r="Q16" s="54" t="s">
        <v>23</v>
      </c>
      <c r="R16" s="54">
        <f>COUNTIF('3. Databases'!$B$2:$B$192,$A16)</f>
        <v>5</v>
      </c>
      <c r="S16" s="54" cm="1">
        <f t="array" ref="S16">SUMPRODUCT(('3. Databases'!$B$2:$B$192=$A16)*COUNTIF('Lists (Config)'!$K$4:$K$6,'3. Databases'!$R$2:$R$192))</f>
        <v>0</v>
      </c>
      <c r="T16" s="55" t="s">
        <v>985</v>
      </c>
      <c r="U16" s="55" t="s">
        <v>1051</v>
      </c>
    </row>
    <row r="17" spans="1:21" s="55" customFormat="1" x14ac:dyDescent="0.3">
      <c r="A17" s="52" t="s">
        <v>185</v>
      </c>
      <c r="B17" s="52" t="s">
        <v>111</v>
      </c>
      <c r="C17" s="52" t="s">
        <v>112</v>
      </c>
      <c r="D17" s="52" t="s">
        <v>67</v>
      </c>
      <c r="E17" s="52" t="s">
        <v>76</v>
      </c>
      <c r="F17" s="52" t="s">
        <v>186</v>
      </c>
      <c r="G17" s="52" t="s">
        <v>69</v>
      </c>
      <c r="H17" s="52" t="str">
        <f t="shared" si="0"/>
        <v>Yes</v>
      </c>
      <c r="I17" s="53" t="s">
        <v>9</v>
      </c>
      <c r="J17" s="53"/>
      <c r="K17" s="53" t="s">
        <v>26</v>
      </c>
      <c r="L17" s="53" t="s">
        <v>39</v>
      </c>
      <c r="M17" s="53" t="s">
        <v>976</v>
      </c>
      <c r="N17" s="53" t="s">
        <v>979</v>
      </c>
      <c r="O17" s="53" t="s">
        <v>22</v>
      </c>
      <c r="P17" s="54" t="s">
        <v>23</v>
      </c>
      <c r="Q17" s="54" t="s">
        <v>23</v>
      </c>
      <c r="R17" s="54">
        <f>COUNTIF('3. Databases'!$B$2:$B$192,$A17)</f>
        <v>0</v>
      </c>
      <c r="S17" s="54" cm="1">
        <f t="array" ref="S17">SUMPRODUCT(('3. Databases'!$B$2:$B$192=$A17)*COUNTIF('Lists (Config)'!$K$4:$K$6,'3. Databases'!$R$2:$R$192))</f>
        <v>0</v>
      </c>
      <c r="T17" s="55" t="s">
        <v>985</v>
      </c>
      <c r="U17" s="55" t="s">
        <v>1054</v>
      </c>
    </row>
    <row r="18" spans="1:21" s="55" customFormat="1" x14ac:dyDescent="0.3">
      <c r="A18" s="52" t="s">
        <v>116</v>
      </c>
      <c r="B18" s="52" t="s">
        <v>117</v>
      </c>
      <c r="C18" s="52" t="s">
        <v>118</v>
      </c>
      <c r="D18" s="52" t="s">
        <v>67</v>
      </c>
      <c r="E18" s="52" t="s">
        <v>76</v>
      </c>
      <c r="F18" s="52" t="s">
        <v>91</v>
      </c>
      <c r="G18" s="52" t="s">
        <v>69</v>
      </c>
      <c r="H18" s="52" t="str">
        <f t="shared" si="0"/>
        <v>Yes</v>
      </c>
      <c r="I18" s="53" t="s">
        <v>9</v>
      </c>
      <c r="J18" s="53" t="s">
        <v>10</v>
      </c>
      <c r="K18" s="53" t="s">
        <v>18</v>
      </c>
      <c r="L18" s="53" t="s">
        <v>39</v>
      </c>
      <c r="M18" s="53" t="s">
        <v>976</v>
      </c>
      <c r="N18" s="53" t="s">
        <v>980</v>
      </c>
      <c r="O18" s="53" t="s">
        <v>22</v>
      </c>
      <c r="P18" s="54" t="s">
        <v>23</v>
      </c>
      <c r="Q18" s="54" t="s">
        <v>23</v>
      </c>
      <c r="R18" s="54">
        <f>COUNTIF('3. Databases'!$B$2:$B$192,$A18)</f>
        <v>0</v>
      </c>
      <c r="S18" s="54" cm="1">
        <f t="array" ref="S18">SUMPRODUCT(('3. Databases'!$B$2:$B$192=$A18)*COUNTIF('Lists (Config)'!$K$4:$K$6,'3. Databases'!$R$2:$R$192))</f>
        <v>0</v>
      </c>
      <c r="T18" s="55" t="s">
        <v>985</v>
      </c>
      <c r="U18" s="55" t="s">
        <v>1050</v>
      </c>
    </row>
    <row r="19" spans="1:21" s="63" customFormat="1" x14ac:dyDescent="0.3">
      <c r="A19" s="60" t="s">
        <v>757</v>
      </c>
      <c r="B19" s="60" t="s">
        <v>756</v>
      </c>
      <c r="C19" s="60"/>
      <c r="D19" s="60"/>
      <c r="E19" s="60" t="s">
        <v>76</v>
      </c>
      <c r="F19" s="60" t="s">
        <v>91</v>
      </c>
      <c r="G19" s="60" t="s">
        <v>69</v>
      </c>
      <c r="H19" s="60" t="str">
        <f t="shared" si="0"/>
        <v>Yes</v>
      </c>
      <c r="I19" s="61" t="s">
        <v>9</v>
      </c>
      <c r="J19" s="61" t="s">
        <v>10</v>
      </c>
      <c r="K19" s="61" t="s">
        <v>26</v>
      </c>
      <c r="L19" s="61" t="s">
        <v>39</v>
      </c>
      <c r="M19" s="61" t="s">
        <v>976</v>
      </c>
      <c r="N19" s="61" t="s">
        <v>979</v>
      </c>
      <c r="O19" s="61" t="s">
        <v>595</v>
      </c>
      <c r="P19" s="62" t="s">
        <v>23</v>
      </c>
      <c r="Q19" s="62" t="s">
        <v>23</v>
      </c>
      <c r="R19" s="62">
        <f>COUNTIF('3. Databases'!$B$2:$B$192,$A19)</f>
        <v>1</v>
      </c>
      <c r="S19" s="62" cm="1">
        <f t="array" ref="S19">SUMPRODUCT(('3. Databases'!$B$2:$B$192=$A19)*COUNTIF('Lists (Config)'!$K$4:$K$6,'3. Databases'!$R$2:$R$192))</f>
        <v>0</v>
      </c>
      <c r="T19" s="63" t="s">
        <v>985</v>
      </c>
    </row>
    <row r="20" spans="1:21" s="63" customFormat="1" x14ac:dyDescent="0.3">
      <c r="A20" s="60" t="s">
        <v>447</v>
      </c>
      <c r="B20" s="60" t="s">
        <v>446</v>
      </c>
      <c r="C20" s="60" t="s">
        <v>448</v>
      </c>
      <c r="D20" s="60" t="s">
        <v>67</v>
      </c>
      <c r="E20" s="60" t="s">
        <v>76</v>
      </c>
      <c r="F20" s="60" t="s">
        <v>449</v>
      </c>
      <c r="G20" s="60" t="s">
        <v>33</v>
      </c>
      <c r="H20" s="60" t="str">
        <f t="shared" si="0"/>
        <v>Yes</v>
      </c>
      <c r="I20" s="61" t="s">
        <v>9</v>
      </c>
      <c r="J20" s="61" t="s">
        <v>10</v>
      </c>
      <c r="K20" s="61" t="s">
        <v>26</v>
      </c>
      <c r="L20" s="61" t="s">
        <v>39</v>
      </c>
      <c r="M20" s="61" t="s">
        <v>976</v>
      </c>
      <c r="N20" s="61" t="s">
        <v>979</v>
      </c>
      <c r="O20" s="61" t="s">
        <v>502</v>
      </c>
      <c r="P20" s="62" t="s">
        <v>15</v>
      </c>
      <c r="Q20" s="62" t="s">
        <v>23</v>
      </c>
      <c r="R20" s="62">
        <f>COUNTIF('3. Databases'!$B$2:$B$192,$A20)</f>
        <v>6</v>
      </c>
      <c r="S20" s="62" cm="1">
        <f t="array" ref="S20">SUMPRODUCT(('3. Databases'!$B$2:$B$192=$A20)*COUNTIF('Lists (Config)'!$K$4:$K$6,'3. Databases'!$R$2:$R$192))</f>
        <v>0</v>
      </c>
      <c r="T20" s="63" t="s">
        <v>985</v>
      </c>
    </row>
    <row r="21" spans="1:21" s="63" customFormat="1" x14ac:dyDescent="0.3">
      <c r="A21" s="60" t="s">
        <v>940</v>
      </c>
      <c r="B21" s="60" t="s">
        <v>941</v>
      </c>
      <c r="C21" s="60"/>
      <c r="D21" s="60"/>
      <c r="E21" s="60" t="s">
        <v>76</v>
      </c>
      <c r="F21" s="60" t="s">
        <v>449</v>
      </c>
      <c r="G21" s="60" t="s">
        <v>33</v>
      </c>
      <c r="H21" s="60" t="str">
        <f t="shared" si="0"/>
        <v>Yes</v>
      </c>
      <c r="I21" s="61" t="s">
        <v>32</v>
      </c>
      <c r="J21" s="61"/>
      <c r="K21" s="61"/>
      <c r="L21" s="61"/>
      <c r="M21" s="61" t="s">
        <v>1123</v>
      </c>
      <c r="N21" s="61" t="s">
        <v>977</v>
      </c>
      <c r="O21" s="61" t="s">
        <v>595</v>
      </c>
      <c r="P21" s="62" t="s">
        <v>23</v>
      </c>
      <c r="Q21" s="62" t="s">
        <v>23</v>
      </c>
      <c r="R21" s="62">
        <f>COUNTIF('3. Databases'!$B$2:$B$192,$A21)</f>
        <v>5</v>
      </c>
      <c r="S21" s="62" cm="1">
        <f t="array" ref="S21">SUMPRODUCT(('3. Databases'!$B$2:$B$192=$A21)*COUNTIF('Lists (Config)'!$K$4:$K$6,'3. Databases'!$R$2:$R$192))</f>
        <v>0</v>
      </c>
      <c r="T21" s="63" t="s">
        <v>958</v>
      </c>
    </row>
    <row r="22" spans="1:21" s="63" customFormat="1" ht="34.200000000000003" x14ac:dyDescent="0.3">
      <c r="A22" s="60" t="s">
        <v>119</v>
      </c>
      <c r="B22" s="60" t="s">
        <v>120</v>
      </c>
      <c r="C22" s="60" t="s">
        <v>121</v>
      </c>
      <c r="D22" s="60" t="s">
        <v>67</v>
      </c>
      <c r="E22" s="60" t="s">
        <v>76</v>
      </c>
      <c r="F22" s="60" t="s">
        <v>122</v>
      </c>
      <c r="G22" s="60" t="s">
        <v>63</v>
      </c>
      <c r="H22" s="60" t="str">
        <f t="shared" si="0"/>
        <v>Yes</v>
      </c>
      <c r="I22" s="61" t="s">
        <v>9</v>
      </c>
      <c r="J22" s="61"/>
      <c r="K22" s="61" t="s">
        <v>18</v>
      </c>
      <c r="L22" s="61" t="s">
        <v>39</v>
      </c>
      <c r="M22" s="61" t="s">
        <v>976</v>
      </c>
      <c r="N22" s="61" t="s">
        <v>22</v>
      </c>
      <c r="O22" s="61" t="s">
        <v>22</v>
      </c>
      <c r="P22" s="62" t="s">
        <v>23</v>
      </c>
      <c r="Q22" s="62" t="s">
        <v>23</v>
      </c>
      <c r="R22" s="62">
        <f>COUNTIF('3. Databases'!$B$2:$B$192,$A22)</f>
        <v>0</v>
      </c>
      <c r="S22" s="62" cm="1">
        <f t="array" ref="S22">SUMPRODUCT(('3. Databases'!$B$2:$B$192=$A22)*COUNTIF('Lists (Config)'!$K$4:$K$6,'3. Databases'!$R$2:$R$192))</f>
        <v>0</v>
      </c>
      <c r="T22" s="63" t="s">
        <v>984</v>
      </c>
      <c r="U22" s="63" t="s">
        <v>994</v>
      </c>
    </row>
    <row r="23" spans="1:21" s="63" customFormat="1" x14ac:dyDescent="0.3">
      <c r="A23" s="60" t="s">
        <v>113</v>
      </c>
      <c r="B23" s="60" t="s">
        <v>114</v>
      </c>
      <c r="C23" s="60" t="s">
        <v>115</v>
      </c>
      <c r="D23" s="60" t="s">
        <v>67</v>
      </c>
      <c r="E23" s="60" t="s">
        <v>76</v>
      </c>
      <c r="F23" s="60" t="s">
        <v>68</v>
      </c>
      <c r="G23" s="60" t="s">
        <v>69</v>
      </c>
      <c r="H23" s="60" t="str">
        <f t="shared" si="0"/>
        <v>Yes</v>
      </c>
      <c r="I23" s="61" t="s">
        <v>9</v>
      </c>
      <c r="J23" s="61"/>
      <c r="K23" s="61"/>
      <c r="L23" s="61" t="s">
        <v>39</v>
      </c>
      <c r="M23" s="61" t="s">
        <v>976</v>
      </c>
      <c r="N23" s="61"/>
      <c r="O23" s="61" t="s">
        <v>22</v>
      </c>
      <c r="P23" s="62" t="s">
        <v>23</v>
      </c>
      <c r="Q23" s="62" t="s">
        <v>23</v>
      </c>
      <c r="R23" s="62">
        <f>COUNTIF('3. Databases'!$B$2:$B$192,$A23)</f>
        <v>0</v>
      </c>
      <c r="S23" s="62" cm="1">
        <f t="array" ref="S23">SUMPRODUCT(('3. Databases'!$B$2:$B$192=$A23)*COUNTIF('Lists (Config)'!$K$4:$K$6,'3. Databases'!$R$2:$R$192))</f>
        <v>0</v>
      </c>
      <c r="T23" s="63" t="s">
        <v>985</v>
      </c>
      <c r="U23" s="63" t="s">
        <v>1050</v>
      </c>
    </row>
    <row r="24" spans="1:21" s="63" customFormat="1" x14ac:dyDescent="0.3">
      <c r="A24" s="60" t="s">
        <v>126</v>
      </c>
      <c r="B24" s="60" t="s">
        <v>114</v>
      </c>
      <c r="C24" s="60" t="s">
        <v>115</v>
      </c>
      <c r="D24" s="60" t="s">
        <v>67</v>
      </c>
      <c r="E24" s="60" t="s">
        <v>76</v>
      </c>
      <c r="F24" s="60" t="s">
        <v>91</v>
      </c>
      <c r="G24" s="60" t="s">
        <v>69</v>
      </c>
      <c r="H24" s="60" t="str">
        <f t="shared" si="0"/>
        <v>Yes</v>
      </c>
      <c r="I24" s="61" t="s">
        <v>9</v>
      </c>
      <c r="J24" s="61" t="s">
        <v>10</v>
      </c>
      <c r="K24" s="61" t="s">
        <v>18</v>
      </c>
      <c r="L24" s="61" t="s">
        <v>39</v>
      </c>
      <c r="M24" s="61" t="s">
        <v>976</v>
      </c>
      <c r="N24" s="61"/>
      <c r="O24" s="61" t="s">
        <v>22</v>
      </c>
      <c r="P24" s="62" t="s">
        <v>23</v>
      </c>
      <c r="Q24" s="62" t="s">
        <v>23</v>
      </c>
      <c r="R24" s="62">
        <f>COUNTIF('3. Databases'!$B$2:$B$192,$A24)</f>
        <v>0</v>
      </c>
      <c r="S24" s="62" cm="1">
        <f t="array" ref="S24">SUMPRODUCT(('3. Databases'!$B$2:$B$192=$A24)*COUNTIF('Lists (Config)'!$K$4:$K$6,'3. Databases'!$R$2:$R$192))</f>
        <v>0</v>
      </c>
      <c r="T24" s="63" t="s">
        <v>985</v>
      </c>
      <c r="U24" s="63" t="s">
        <v>1050</v>
      </c>
    </row>
    <row r="25" spans="1:21" s="63" customFormat="1" ht="22.8" x14ac:dyDescent="0.3">
      <c r="A25" s="60" t="s">
        <v>127</v>
      </c>
      <c r="B25" s="60" t="s">
        <v>128</v>
      </c>
      <c r="C25" s="60" t="s">
        <v>129</v>
      </c>
      <c r="D25" s="60" t="s">
        <v>60</v>
      </c>
      <c r="E25" s="60" t="s">
        <v>76</v>
      </c>
      <c r="F25" s="60" t="s">
        <v>84</v>
      </c>
      <c r="G25" s="60" t="s">
        <v>78</v>
      </c>
      <c r="H25" s="60" t="str">
        <f t="shared" si="0"/>
        <v>Yes</v>
      </c>
      <c r="I25" s="61" t="s">
        <v>39</v>
      </c>
      <c r="J25" s="61"/>
      <c r="K25" s="61" t="s">
        <v>26</v>
      </c>
      <c r="L25" s="61" t="s">
        <v>39</v>
      </c>
      <c r="M25" s="61" t="s">
        <v>976</v>
      </c>
      <c r="N25" s="61" t="s">
        <v>982</v>
      </c>
      <c r="O25" s="61" t="s">
        <v>22</v>
      </c>
      <c r="P25" s="62" t="s">
        <v>23</v>
      </c>
      <c r="Q25" s="62" t="s">
        <v>23</v>
      </c>
      <c r="R25" s="62">
        <f>COUNTIF('3. Databases'!$B$2:$B$192,$A25)</f>
        <v>0</v>
      </c>
      <c r="S25" s="62" cm="1">
        <f t="array" ref="S25">SUMPRODUCT(('3. Databases'!$B$2:$B$192=$A25)*COUNTIF('Lists (Config)'!$K$4:$K$6,'3. Databases'!$R$2:$R$192))</f>
        <v>0</v>
      </c>
      <c r="T25" s="63" t="s">
        <v>985</v>
      </c>
      <c r="U25" s="63" t="s">
        <v>994</v>
      </c>
    </row>
    <row r="26" spans="1:21" s="63" customFormat="1" x14ac:dyDescent="0.3">
      <c r="A26" s="60" t="s">
        <v>130</v>
      </c>
      <c r="B26" s="60" t="s">
        <v>128</v>
      </c>
      <c r="C26" s="60" t="s">
        <v>129</v>
      </c>
      <c r="D26" s="60" t="s">
        <v>60</v>
      </c>
      <c r="E26" s="60" t="s">
        <v>76</v>
      </c>
      <c r="F26" s="60" t="s">
        <v>91</v>
      </c>
      <c r="G26" s="60" t="s">
        <v>78</v>
      </c>
      <c r="H26" s="60" t="str">
        <f t="shared" si="0"/>
        <v>Yes</v>
      </c>
      <c r="I26" s="61" t="s">
        <v>39</v>
      </c>
      <c r="J26" s="61"/>
      <c r="K26" s="61"/>
      <c r="L26" s="61"/>
      <c r="M26" s="61"/>
      <c r="N26" s="61"/>
      <c r="O26" s="61" t="s">
        <v>22</v>
      </c>
      <c r="P26" s="62" t="s">
        <v>23</v>
      </c>
      <c r="Q26" s="62" t="s">
        <v>23</v>
      </c>
      <c r="R26" s="62">
        <f>COUNTIF('3. Databases'!$B$2:$B$192,$A26)</f>
        <v>0</v>
      </c>
      <c r="S26" s="62" cm="1">
        <f t="array" ref="S26">SUMPRODUCT(('3. Databases'!$B$2:$B$192=$A26)*COUNTIF('Lists (Config)'!$K$4:$K$6,'3. Databases'!$R$2:$R$192))</f>
        <v>0</v>
      </c>
      <c r="T26" s="63" t="s">
        <v>986</v>
      </c>
      <c r="U26" s="63" t="s">
        <v>994</v>
      </c>
    </row>
    <row r="27" spans="1:21" s="63" customFormat="1" x14ac:dyDescent="0.3">
      <c r="A27" s="60" t="s">
        <v>131</v>
      </c>
      <c r="B27" s="60" t="s">
        <v>132</v>
      </c>
      <c r="C27" s="60" t="s">
        <v>133</v>
      </c>
      <c r="D27" s="60" t="s">
        <v>67</v>
      </c>
      <c r="E27" s="60" t="s">
        <v>61</v>
      </c>
      <c r="F27" s="60" t="s">
        <v>134</v>
      </c>
      <c r="G27" s="60" t="s">
        <v>63</v>
      </c>
      <c r="H27" s="60" t="str">
        <f t="shared" si="0"/>
        <v>No</v>
      </c>
      <c r="I27" s="61" t="s">
        <v>9</v>
      </c>
      <c r="J27" s="61"/>
      <c r="K27" s="61" t="s">
        <v>18</v>
      </c>
      <c r="L27" s="61" t="s">
        <v>39</v>
      </c>
      <c r="M27" s="61" t="s">
        <v>1127</v>
      </c>
      <c r="N27" s="61" t="s">
        <v>977</v>
      </c>
      <c r="O27" s="61" t="s">
        <v>22</v>
      </c>
      <c r="P27" s="62" t="s">
        <v>23</v>
      </c>
      <c r="Q27" s="62" t="s">
        <v>23</v>
      </c>
      <c r="R27" s="62">
        <f>COUNTIF('3. Databases'!$B$2:$B$192,$A27)</f>
        <v>0</v>
      </c>
      <c r="S27" s="62" cm="1">
        <f t="array" ref="S27">SUMPRODUCT(('3. Databases'!$B$2:$B$192=$A27)*COUNTIF('Lists (Config)'!$K$4:$K$6,'3. Databases'!$R$2:$R$192))</f>
        <v>0</v>
      </c>
      <c r="T27" s="63" t="s">
        <v>984</v>
      </c>
    </row>
    <row r="28" spans="1:21" s="55" customFormat="1" x14ac:dyDescent="0.3">
      <c r="A28" s="52" t="s">
        <v>123</v>
      </c>
      <c r="B28" s="52" t="s">
        <v>124</v>
      </c>
      <c r="C28" s="52" t="s">
        <v>125</v>
      </c>
      <c r="D28" s="52" t="s">
        <v>67</v>
      </c>
      <c r="E28" s="52" t="s">
        <v>76</v>
      </c>
      <c r="F28" s="52" t="s">
        <v>68</v>
      </c>
      <c r="G28" s="52" t="s">
        <v>69</v>
      </c>
      <c r="H28" s="52" t="str">
        <f t="shared" si="0"/>
        <v>Yes</v>
      </c>
      <c r="I28" s="53" t="s">
        <v>9</v>
      </c>
      <c r="J28" s="53" t="s">
        <v>25</v>
      </c>
      <c r="K28" s="53" t="s">
        <v>18</v>
      </c>
      <c r="L28" s="53" t="s">
        <v>39</v>
      </c>
      <c r="M28" s="53" t="s">
        <v>976</v>
      </c>
      <c r="N28" s="53" t="s">
        <v>981</v>
      </c>
      <c r="O28" s="53" t="s">
        <v>22</v>
      </c>
      <c r="P28" s="54" t="s">
        <v>23</v>
      </c>
      <c r="Q28" s="54" t="s">
        <v>23</v>
      </c>
      <c r="R28" s="54">
        <f>COUNTIF('3. Databases'!$B$2:$B$192,$A28)</f>
        <v>0</v>
      </c>
      <c r="S28" s="54" cm="1">
        <f t="array" ref="S28">SUMPRODUCT(('3. Databases'!$B$2:$B$192=$A28)*COUNTIF('Lists (Config)'!$K$4:$K$6,'3. Databases'!$R$2:$R$192))</f>
        <v>0</v>
      </c>
      <c r="T28" s="55" t="s">
        <v>985</v>
      </c>
      <c r="U28" s="55" t="s">
        <v>1050</v>
      </c>
    </row>
    <row r="29" spans="1:21" s="55" customFormat="1" ht="22.8" x14ac:dyDescent="0.3">
      <c r="A29" s="52" t="s">
        <v>138</v>
      </c>
      <c r="B29" s="52" t="s">
        <v>124</v>
      </c>
      <c r="C29" s="52" t="s">
        <v>125</v>
      </c>
      <c r="D29" s="52" t="s">
        <v>67</v>
      </c>
      <c r="E29" s="52" t="s">
        <v>76</v>
      </c>
      <c r="F29" s="52" t="s">
        <v>139</v>
      </c>
      <c r="G29" s="52" t="s">
        <v>78</v>
      </c>
      <c r="H29" s="52" t="str">
        <f t="shared" si="0"/>
        <v>Yes</v>
      </c>
      <c r="I29" s="53" t="s">
        <v>9</v>
      </c>
      <c r="J29" s="53" t="s">
        <v>25</v>
      </c>
      <c r="K29" s="53" t="s">
        <v>26</v>
      </c>
      <c r="L29" s="53" t="s">
        <v>39</v>
      </c>
      <c r="M29" s="53" t="s">
        <v>1129</v>
      </c>
      <c r="N29" s="53" t="s">
        <v>1130</v>
      </c>
      <c r="O29" s="53" t="s">
        <v>22</v>
      </c>
      <c r="P29" s="54" t="s">
        <v>23</v>
      </c>
      <c r="Q29" s="54" t="s">
        <v>23</v>
      </c>
      <c r="R29" s="54">
        <f>COUNTIF('3. Databases'!$B$2:$B$192,$A29)</f>
        <v>0</v>
      </c>
      <c r="S29" s="54" cm="1">
        <f t="array" ref="S29">SUMPRODUCT(('3. Databases'!$B$2:$B$192=$A29)*COUNTIF('Lists (Config)'!$K$4:$K$6,'3. Databases'!$R$2:$R$192))</f>
        <v>0</v>
      </c>
      <c r="T29" s="55" t="s">
        <v>986</v>
      </c>
      <c r="U29" s="55" t="s">
        <v>1050</v>
      </c>
    </row>
    <row r="30" spans="1:21" s="55" customFormat="1" x14ac:dyDescent="0.3">
      <c r="A30" s="52" t="s">
        <v>135</v>
      </c>
      <c r="B30" s="52" t="s">
        <v>136</v>
      </c>
      <c r="C30" s="52" t="s">
        <v>137</v>
      </c>
      <c r="D30" s="52" t="s">
        <v>67</v>
      </c>
      <c r="E30" s="52" t="s">
        <v>76</v>
      </c>
      <c r="F30" s="52" t="s">
        <v>68</v>
      </c>
      <c r="G30" s="52" t="s">
        <v>69</v>
      </c>
      <c r="H30" s="52" t="str">
        <f t="shared" si="0"/>
        <v>Yes</v>
      </c>
      <c r="I30" s="53" t="s">
        <v>16</v>
      </c>
      <c r="J30" s="53"/>
      <c r="K30" s="53" t="s">
        <v>26</v>
      </c>
      <c r="L30" s="53" t="s">
        <v>39</v>
      </c>
      <c r="M30" s="53" t="s">
        <v>1129</v>
      </c>
      <c r="N30" s="53" t="s">
        <v>1130</v>
      </c>
      <c r="O30" s="53" t="s">
        <v>22</v>
      </c>
      <c r="P30" s="54" t="s">
        <v>23</v>
      </c>
      <c r="Q30" s="54" t="s">
        <v>23</v>
      </c>
      <c r="R30" s="54">
        <f>COUNTIF('3. Databases'!$B$2:$B$192,$A30)</f>
        <v>0</v>
      </c>
      <c r="S30" s="54" cm="1">
        <f t="array" ref="S30">SUMPRODUCT(('3. Databases'!$B$2:$B$192=$A30)*COUNTIF('Lists (Config)'!$K$4:$K$6,'3. Databases'!$R$2:$R$192))</f>
        <v>0</v>
      </c>
      <c r="T30" s="55" t="s">
        <v>985</v>
      </c>
      <c r="U30" s="55" t="s">
        <v>1050</v>
      </c>
    </row>
    <row r="31" spans="1:21" s="55" customFormat="1" ht="22.8" x14ac:dyDescent="0.3">
      <c r="A31" s="52" t="s">
        <v>146</v>
      </c>
      <c r="B31" s="52" t="s">
        <v>136</v>
      </c>
      <c r="C31" s="52" t="s">
        <v>137</v>
      </c>
      <c r="D31" s="52" t="s">
        <v>67</v>
      </c>
      <c r="E31" s="52" t="s">
        <v>76</v>
      </c>
      <c r="F31" s="52" t="s">
        <v>139</v>
      </c>
      <c r="G31" s="52" t="s">
        <v>78</v>
      </c>
      <c r="H31" s="52" t="str">
        <f t="shared" si="0"/>
        <v>Yes</v>
      </c>
      <c r="I31" s="53" t="s">
        <v>16</v>
      </c>
      <c r="J31" s="53"/>
      <c r="K31" s="53" t="s">
        <v>26</v>
      </c>
      <c r="L31" s="53" t="s">
        <v>39</v>
      </c>
      <c r="M31" s="53" t="s">
        <v>1129</v>
      </c>
      <c r="N31" s="53" t="s">
        <v>1130</v>
      </c>
      <c r="O31" s="53" t="s">
        <v>22</v>
      </c>
      <c r="P31" s="54" t="s">
        <v>23</v>
      </c>
      <c r="Q31" s="54" t="s">
        <v>23</v>
      </c>
      <c r="R31" s="54">
        <f>COUNTIF('3. Databases'!$B$2:$B$192,$A31)</f>
        <v>0</v>
      </c>
      <c r="S31" s="54" cm="1">
        <f t="array" ref="S31">SUMPRODUCT(('3. Databases'!$B$2:$B$192=$A31)*COUNTIF('Lists (Config)'!$K$4:$K$6,'3. Databases'!$R$2:$R$192))</f>
        <v>0</v>
      </c>
      <c r="T31" s="55" t="s">
        <v>986</v>
      </c>
      <c r="U31" s="55" t="s">
        <v>1050</v>
      </c>
    </row>
    <row r="32" spans="1:21" s="63" customFormat="1" ht="22.8" x14ac:dyDescent="0.3">
      <c r="A32" s="60" t="s">
        <v>147</v>
      </c>
      <c r="B32" s="60" t="s">
        <v>148</v>
      </c>
      <c r="C32" s="60" t="s">
        <v>500</v>
      </c>
      <c r="D32" s="60" t="s">
        <v>67</v>
      </c>
      <c r="E32" s="60" t="s">
        <v>149</v>
      </c>
      <c r="F32" s="60" t="s">
        <v>91</v>
      </c>
      <c r="G32" s="60" t="s">
        <v>69</v>
      </c>
      <c r="H32" s="60" t="str">
        <f t="shared" si="0"/>
        <v>Yes</v>
      </c>
      <c r="I32" s="61" t="s">
        <v>9</v>
      </c>
      <c r="J32" s="61" t="s">
        <v>10</v>
      </c>
      <c r="K32" s="61" t="s">
        <v>18</v>
      </c>
      <c r="L32" s="61" t="s">
        <v>39</v>
      </c>
      <c r="M32" s="61" t="s">
        <v>1127</v>
      </c>
      <c r="N32" s="61" t="s">
        <v>977</v>
      </c>
      <c r="O32" s="61" t="s">
        <v>22</v>
      </c>
      <c r="P32" s="62" t="s">
        <v>23</v>
      </c>
      <c r="Q32" s="62" t="s">
        <v>23</v>
      </c>
      <c r="R32" s="62">
        <f>COUNTIF('3. Databases'!$B$2:$B$192,$A32)</f>
        <v>4</v>
      </c>
      <c r="S32" s="62" cm="1">
        <f t="array" ref="S32">SUMPRODUCT(('3. Databases'!$B$2:$B$192=$A32)*COUNTIF('Lists (Config)'!$K$4:$K$6,'3. Databases'!$R$2:$R$192))</f>
        <v>0</v>
      </c>
      <c r="T32" s="63" t="s">
        <v>985</v>
      </c>
    </row>
    <row r="33" spans="1:21" s="63" customFormat="1" ht="22.8" x14ac:dyDescent="0.3">
      <c r="A33" s="60" t="s">
        <v>190</v>
      </c>
      <c r="B33" s="60" t="s">
        <v>148</v>
      </c>
      <c r="C33" s="60" t="s">
        <v>500</v>
      </c>
      <c r="D33" s="60" t="s">
        <v>67</v>
      </c>
      <c r="E33" s="60" t="s">
        <v>149</v>
      </c>
      <c r="F33" s="60" t="s">
        <v>186</v>
      </c>
      <c r="G33" s="60" t="s">
        <v>69</v>
      </c>
      <c r="H33" s="60" t="str">
        <f t="shared" si="0"/>
        <v>Yes</v>
      </c>
      <c r="I33" s="61" t="s">
        <v>9</v>
      </c>
      <c r="J33" s="61" t="s">
        <v>10</v>
      </c>
      <c r="K33" s="61" t="s">
        <v>18</v>
      </c>
      <c r="L33" s="61" t="s">
        <v>39</v>
      </c>
      <c r="M33" s="61" t="s">
        <v>1127</v>
      </c>
      <c r="N33" s="61" t="s">
        <v>977</v>
      </c>
      <c r="O33" s="61" t="s">
        <v>22</v>
      </c>
      <c r="P33" s="62" t="s">
        <v>23</v>
      </c>
      <c r="Q33" s="62" t="s">
        <v>23</v>
      </c>
      <c r="R33" s="62">
        <f>COUNTIF('3. Databases'!$B$2:$B$192,$A33)</f>
        <v>0</v>
      </c>
      <c r="S33" s="62" cm="1">
        <f t="array" ref="S33">SUMPRODUCT(('3. Databases'!$B$2:$B$192=$A33)*COUNTIF('Lists (Config)'!$K$4:$K$6,'3. Databases'!$R$2:$R$192))</f>
        <v>0</v>
      </c>
      <c r="T33" s="63" t="s">
        <v>986</v>
      </c>
      <c r="U33" s="63" t="s">
        <v>994</v>
      </c>
    </row>
    <row r="34" spans="1:21" s="59" customFormat="1" x14ac:dyDescent="0.3">
      <c r="A34" s="56" t="s">
        <v>153</v>
      </c>
      <c r="B34" s="56" t="s">
        <v>154</v>
      </c>
      <c r="C34" s="56" t="s">
        <v>155</v>
      </c>
      <c r="D34" s="56" t="s">
        <v>67</v>
      </c>
      <c r="E34" s="56" t="s">
        <v>76</v>
      </c>
      <c r="F34" s="56" t="s">
        <v>91</v>
      </c>
      <c r="G34" s="56" t="s">
        <v>69</v>
      </c>
      <c r="H34" s="56" t="str">
        <f t="shared" si="0"/>
        <v>Yes</v>
      </c>
      <c r="I34" s="57" t="s">
        <v>9</v>
      </c>
      <c r="J34" s="57" t="s">
        <v>10</v>
      </c>
      <c r="K34" s="57" t="s">
        <v>18</v>
      </c>
      <c r="L34" s="57" t="s">
        <v>39</v>
      </c>
      <c r="M34" s="57" t="s">
        <v>976</v>
      </c>
      <c r="N34" s="57" t="s">
        <v>980</v>
      </c>
      <c r="O34" s="57" t="s">
        <v>22</v>
      </c>
      <c r="P34" s="58" t="s">
        <v>23</v>
      </c>
      <c r="Q34" s="58" t="s">
        <v>23</v>
      </c>
      <c r="R34" s="58">
        <f>COUNTIF('3. Databases'!$B$2:$B$192,$A34)</f>
        <v>0</v>
      </c>
      <c r="S34" s="58" cm="1">
        <f t="array" ref="S34">SUMPRODUCT(('3. Databases'!$B$2:$B$192=$A34)*COUNTIF('Lists (Config)'!$K$4:$K$6,'3. Databases'!$R$2:$R$192))</f>
        <v>0</v>
      </c>
      <c r="T34" s="59" t="s">
        <v>985</v>
      </c>
      <c r="U34" s="59" t="s">
        <v>1050</v>
      </c>
    </row>
    <row r="35" spans="1:21" s="59" customFormat="1" x14ac:dyDescent="0.3">
      <c r="A35" s="56" t="s">
        <v>780</v>
      </c>
      <c r="B35" s="56" t="s">
        <v>781</v>
      </c>
      <c r="C35" s="56"/>
      <c r="D35" s="56"/>
      <c r="E35" s="56" t="s">
        <v>76</v>
      </c>
      <c r="F35" s="56" t="s">
        <v>91</v>
      </c>
      <c r="G35" s="56" t="s">
        <v>69</v>
      </c>
      <c r="H35" s="56" t="str">
        <f t="shared" si="0"/>
        <v>Yes</v>
      </c>
      <c r="I35" s="57" t="s">
        <v>9</v>
      </c>
      <c r="J35" s="57" t="s">
        <v>10</v>
      </c>
      <c r="K35" s="57" t="s">
        <v>18</v>
      </c>
      <c r="L35" s="57" t="s">
        <v>39</v>
      </c>
      <c r="M35" s="57" t="s">
        <v>976</v>
      </c>
      <c r="N35" s="57" t="s">
        <v>980</v>
      </c>
      <c r="O35" s="57" t="s">
        <v>595</v>
      </c>
      <c r="P35" s="58" t="s">
        <v>23</v>
      </c>
      <c r="Q35" s="58" t="s">
        <v>23</v>
      </c>
      <c r="R35" s="58">
        <f>COUNTIF('3. Databases'!$B$2:$B$192,$A35)</f>
        <v>1</v>
      </c>
      <c r="S35" s="58" cm="1">
        <f t="array" ref="S35">SUMPRODUCT(('3. Databases'!$B$2:$B$192=$A35)*COUNTIF('Lists (Config)'!$K$4:$K$6,'3. Databases'!$R$2:$R$192))</f>
        <v>0</v>
      </c>
      <c r="T35" s="59" t="s">
        <v>985</v>
      </c>
    </row>
    <row r="36" spans="1:21" s="59" customFormat="1" x14ac:dyDescent="0.3">
      <c r="A36" s="56" t="s">
        <v>156</v>
      </c>
      <c r="B36" s="56" t="s">
        <v>157</v>
      </c>
      <c r="C36" s="56" t="s">
        <v>158</v>
      </c>
      <c r="D36" s="56" t="s">
        <v>60</v>
      </c>
      <c r="E36" s="56" t="s">
        <v>76</v>
      </c>
      <c r="F36" s="56" t="s">
        <v>91</v>
      </c>
      <c r="G36" s="56" t="s">
        <v>69</v>
      </c>
      <c r="H36" s="56" t="str">
        <f>IF(ISNUMBER(SEARCH("Microsoft SQL Server",F36)),"Yes","No")</f>
        <v>Yes</v>
      </c>
      <c r="I36" s="57" t="s">
        <v>39</v>
      </c>
      <c r="J36" s="57" t="s">
        <v>10</v>
      </c>
      <c r="K36" s="57" t="s">
        <v>18</v>
      </c>
      <c r="L36" s="57" t="s">
        <v>39</v>
      </c>
      <c r="M36" s="57" t="s">
        <v>976</v>
      </c>
      <c r="N36" s="57" t="s">
        <v>980</v>
      </c>
      <c r="O36" s="57" t="s">
        <v>22</v>
      </c>
      <c r="P36" s="58" t="s">
        <v>23</v>
      </c>
      <c r="Q36" s="58" t="s">
        <v>23</v>
      </c>
      <c r="R36" s="58">
        <f>COUNTIF('3. Databases'!$B$2:$B$192,$A36)</f>
        <v>0</v>
      </c>
      <c r="S36" s="58" cm="1">
        <f t="array" ref="S36">SUMPRODUCT(('3. Databases'!$B$2:$B$192=$A36)*COUNTIF('Lists (Config)'!$K$4:$K$6,'3. Databases'!$R$2:$R$192))</f>
        <v>0</v>
      </c>
      <c r="T36" s="59" t="s">
        <v>985</v>
      </c>
      <c r="U36" s="59" t="s">
        <v>1050</v>
      </c>
    </row>
    <row r="37" spans="1:21" s="67" customFormat="1" ht="22.8" x14ac:dyDescent="0.3">
      <c r="A37" s="64" t="s">
        <v>159</v>
      </c>
      <c r="B37" s="64" t="s">
        <v>160</v>
      </c>
      <c r="C37" s="64" t="s">
        <v>161</v>
      </c>
      <c r="D37" s="64" t="s">
        <v>67</v>
      </c>
      <c r="E37" s="64" t="s">
        <v>76</v>
      </c>
      <c r="F37" s="64" t="s">
        <v>162</v>
      </c>
      <c r="G37" s="64" t="s">
        <v>63</v>
      </c>
      <c r="H37" s="64" t="str">
        <f t="shared" ref="H37:H58" si="1">IF(ISNUMBER(SEARCH("Microsoft SQL Server",F37)),"Yes","No")</f>
        <v>Yes</v>
      </c>
      <c r="I37" s="65" t="s">
        <v>9</v>
      </c>
      <c r="J37" s="65" t="s">
        <v>25</v>
      </c>
      <c r="K37" s="65" t="s">
        <v>26</v>
      </c>
      <c r="L37" s="65" t="s">
        <v>39</v>
      </c>
      <c r="M37" s="65" t="s">
        <v>976</v>
      </c>
      <c r="N37" s="65" t="s">
        <v>980</v>
      </c>
      <c r="O37" s="65" t="s">
        <v>22</v>
      </c>
      <c r="P37" s="66" t="s">
        <v>23</v>
      </c>
      <c r="Q37" s="66" t="s">
        <v>23</v>
      </c>
      <c r="R37" s="66">
        <f>COUNTIF('3. Databases'!$B$2:$B$192,$A37)</f>
        <v>0</v>
      </c>
      <c r="S37" s="66" cm="1">
        <f t="array" ref="S37">SUMPRODUCT(('3. Databases'!$B$2:$B$192=$A37)*COUNTIF('Lists (Config)'!$K$4:$K$6,'3. Databases'!$R$2:$R$192))</f>
        <v>0</v>
      </c>
      <c r="T37" s="67" t="s">
        <v>1126</v>
      </c>
      <c r="U37" s="67" t="s">
        <v>994</v>
      </c>
    </row>
    <row r="38" spans="1:21" s="67" customFormat="1" ht="22.8" x14ac:dyDescent="0.3">
      <c r="A38" s="64" t="s">
        <v>163</v>
      </c>
      <c r="B38" s="64" t="s">
        <v>164</v>
      </c>
      <c r="C38" s="64" t="s">
        <v>165</v>
      </c>
      <c r="D38" s="64" t="s">
        <v>67</v>
      </c>
      <c r="E38" s="64" t="s">
        <v>76</v>
      </c>
      <c r="F38" s="64" t="s">
        <v>162</v>
      </c>
      <c r="G38" s="64" t="s">
        <v>63</v>
      </c>
      <c r="H38" s="64" t="str">
        <f t="shared" si="1"/>
        <v>Yes</v>
      </c>
      <c r="I38" s="65" t="s">
        <v>9</v>
      </c>
      <c r="J38" s="65" t="s">
        <v>25</v>
      </c>
      <c r="K38" s="65" t="s">
        <v>26</v>
      </c>
      <c r="L38" s="65" t="s">
        <v>39</v>
      </c>
      <c r="M38" s="65" t="s">
        <v>976</v>
      </c>
      <c r="N38" s="65" t="s">
        <v>980</v>
      </c>
      <c r="O38" s="65" t="s">
        <v>22</v>
      </c>
      <c r="P38" s="66" t="s">
        <v>23</v>
      </c>
      <c r="Q38" s="66" t="s">
        <v>23</v>
      </c>
      <c r="R38" s="66">
        <f>COUNTIF('3. Databases'!$B$2:$B$192,$A38)</f>
        <v>0</v>
      </c>
      <c r="S38" s="66" cm="1">
        <f t="array" ref="S38">SUMPRODUCT(('3. Databases'!$B$2:$B$192=$A38)*COUNTIF('Lists (Config)'!$K$4:$K$6,'3. Databases'!$R$2:$R$192))</f>
        <v>0</v>
      </c>
      <c r="T38" s="67" t="s">
        <v>1126</v>
      </c>
      <c r="U38" s="67" t="s">
        <v>994</v>
      </c>
    </row>
    <row r="39" spans="1:21" s="55" customFormat="1" x14ac:dyDescent="0.3">
      <c r="A39" s="52" t="s">
        <v>166</v>
      </c>
      <c r="B39" s="52" t="s">
        <v>167</v>
      </c>
      <c r="C39" s="52" t="s">
        <v>168</v>
      </c>
      <c r="D39" s="52" t="s">
        <v>67</v>
      </c>
      <c r="E39" s="52" t="s">
        <v>76</v>
      </c>
      <c r="F39" s="52" t="s">
        <v>91</v>
      </c>
      <c r="G39" s="52" t="s">
        <v>69</v>
      </c>
      <c r="H39" s="52" t="str">
        <f t="shared" si="1"/>
        <v>Yes</v>
      </c>
      <c r="I39" s="53" t="s">
        <v>9</v>
      </c>
      <c r="J39" s="53" t="s">
        <v>10</v>
      </c>
      <c r="K39" s="53" t="s">
        <v>18</v>
      </c>
      <c r="L39" s="53" t="s">
        <v>39</v>
      </c>
      <c r="M39" s="53" t="s">
        <v>976</v>
      </c>
      <c r="N39" s="53" t="s">
        <v>980</v>
      </c>
      <c r="O39" s="53" t="s">
        <v>22</v>
      </c>
      <c r="P39" s="54" t="s">
        <v>23</v>
      </c>
      <c r="Q39" s="54" t="s">
        <v>23</v>
      </c>
      <c r="R39" s="54">
        <f>COUNTIF('3. Databases'!$B$2:$B$192,$A39)</f>
        <v>0</v>
      </c>
      <c r="S39" s="54" cm="1">
        <f t="array" ref="S39">SUMPRODUCT(('3. Databases'!$B$2:$B$192=$A39)*COUNTIF('Lists (Config)'!$K$4:$K$6,'3. Databases'!$R$2:$R$192))</f>
        <v>0</v>
      </c>
      <c r="T39" s="55" t="s">
        <v>985</v>
      </c>
      <c r="U39" s="55" t="s">
        <v>994</v>
      </c>
    </row>
    <row r="40" spans="1:21" s="55" customFormat="1" ht="13.8" customHeight="1" x14ac:dyDescent="0.3">
      <c r="A40" s="52" t="s">
        <v>169</v>
      </c>
      <c r="B40" s="52" t="s">
        <v>170</v>
      </c>
      <c r="C40" s="52" t="s">
        <v>171</v>
      </c>
      <c r="D40" s="52" t="s">
        <v>67</v>
      </c>
      <c r="E40" s="52" t="s">
        <v>76</v>
      </c>
      <c r="F40" s="52" t="s">
        <v>91</v>
      </c>
      <c r="G40" s="52" t="s">
        <v>69</v>
      </c>
      <c r="H40" s="52" t="str">
        <f t="shared" si="1"/>
        <v>Yes</v>
      </c>
      <c r="I40" s="53" t="s">
        <v>9</v>
      </c>
      <c r="J40" s="53" t="s">
        <v>10</v>
      </c>
      <c r="K40" s="53" t="s">
        <v>18</v>
      </c>
      <c r="L40" s="53" t="s">
        <v>39</v>
      </c>
      <c r="M40" s="53" t="s">
        <v>976</v>
      </c>
      <c r="N40" s="53" t="s">
        <v>980</v>
      </c>
      <c r="O40" s="53" t="s">
        <v>22</v>
      </c>
      <c r="P40" s="54" t="s">
        <v>15</v>
      </c>
      <c r="Q40" s="54" t="s">
        <v>23</v>
      </c>
      <c r="R40" s="54">
        <f>COUNTIF('3. Databases'!$B$2:$B$192,$A40)</f>
        <v>7</v>
      </c>
      <c r="S40" s="54" cm="1">
        <f t="array" ref="S40">SUMPRODUCT(('3. Databases'!$B$2:$B$192=$A40)*COUNTIF('Lists (Config)'!$K$4:$K$6,'3. Databases'!$R$2:$R$192))</f>
        <v>0</v>
      </c>
      <c r="T40" s="55" t="s">
        <v>985</v>
      </c>
    </row>
    <row r="41" spans="1:21" s="63" customFormat="1" x14ac:dyDescent="0.3">
      <c r="A41" s="60" t="s">
        <v>172</v>
      </c>
      <c r="B41" s="60" t="s">
        <v>173</v>
      </c>
      <c r="C41" s="60" t="s">
        <v>174</v>
      </c>
      <c r="D41" s="60" t="s">
        <v>67</v>
      </c>
      <c r="E41" s="60" t="s">
        <v>76</v>
      </c>
      <c r="F41" s="60" t="s">
        <v>91</v>
      </c>
      <c r="G41" s="60" t="s">
        <v>78</v>
      </c>
      <c r="H41" s="60" t="str">
        <f t="shared" si="1"/>
        <v>Yes</v>
      </c>
      <c r="I41" s="61" t="s">
        <v>9</v>
      </c>
      <c r="J41" s="61" t="s">
        <v>10</v>
      </c>
      <c r="K41" s="61" t="s">
        <v>26</v>
      </c>
      <c r="L41" s="61" t="s">
        <v>39</v>
      </c>
      <c r="M41" s="61" t="s">
        <v>976</v>
      </c>
      <c r="N41" s="61"/>
      <c r="O41" s="61" t="s">
        <v>22</v>
      </c>
      <c r="P41" s="62" t="s">
        <v>23</v>
      </c>
      <c r="Q41" s="62" t="s">
        <v>23</v>
      </c>
      <c r="R41" s="62">
        <f>COUNTIF('3. Databases'!$B$2:$B$192,$A41)</f>
        <v>0</v>
      </c>
      <c r="S41" s="62" cm="1">
        <f t="array" ref="S41">SUMPRODUCT(('3. Databases'!$B$2:$B$192=$A41)*COUNTIF('Lists (Config)'!$K$4:$K$6,'3. Databases'!$R$2:$R$192))</f>
        <v>0</v>
      </c>
      <c r="T41" s="63" t="s">
        <v>987</v>
      </c>
      <c r="U41" s="63" t="s">
        <v>994</v>
      </c>
    </row>
    <row r="42" spans="1:21" s="55" customFormat="1" x14ac:dyDescent="0.3">
      <c r="A42" s="52" t="s">
        <v>140</v>
      </c>
      <c r="B42" s="52" t="s">
        <v>141</v>
      </c>
      <c r="C42" s="52" t="s">
        <v>142</v>
      </c>
      <c r="D42" s="52" t="s">
        <v>67</v>
      </c>
      <c r="E42" s="52" t="s">
        <v>76</v>
      </c>
      <c r="F42" s="52" t="s">
        <v>68</v>
      </c>
      <c r="G42" s="52" t="s">
        <v>69</v>
      </c>
      <c r="H42" s="52" t="str">
        <f t="shared" si="1"/>
        <v>Yes</v>
      </c>
      <c r="I42" s="53" t="s">
        <v>9</v>
      </c>
      <c r="J42" s="53"/>
      <c r="K42" s="53" t="s">
        <v>18</v>
      </c>
      <c r="L42" s="53" t="s">
        <v>39</v>
      </c>
      <c r="M42" s="53" t="s">
        <v>1127</v>
      </c>
      <c r="N42" s="53" t="s">
        <v>977</v>
      </c>
      <c r="O42" s="53" t="s">
        <v>22</v>
      </c>
      <c r="P42" s="54" t="s">
        <v>15</v>
      </c>
      <c r="Q42" s="54" t="s">
        <v>23</v>
      </c>
      <c r="R42" s="54">
        <f>COUNTIF('3. Databases'!$B$2:$B$192,$A42)</f>
        <v>36</v>
      </c>
      <c r="S42" s="54" cm="1">
        <f t="array" ref="S42">SUMPRODUCT(('3. Databases'!$B$2:$B$192=$A42)*COUNTIF('Lists (Config)'!$K$4:$K$6,'3. Databases'!$R$2:$R$192))</f>
        <v>0</v>
      </c>
      <c r="T42" s="55" t="s">
        <v>985</v>
      </c>
    </row>
    <row r="43" spans="1:21" s="55" customFormat="1" x14ac:dyDescent="0.3">
      <c r="A43" s="52" t="s">
        <v>181</v>
      </c>
      <c r="B43" s="52" t="s">
        <v>141</v>
      </c>
      <c r="C43" s="52" t="s">
        <v>142</v>
      </c>
      <c r="D43" s="52" t="s">
        <v>67</v>
      </c>
      <c r="E43" s="52" t="s">
        <v>76</v>
      </c>
      <c r="F43" s="52" t="s">
        <v>62</v>
      </c>
      <c r="G43" s="52" t="s">
        <v>63</v>
      </c>
      <c r="H43" s="52" t="str">
        <f t="shared" si="1"/>
        <v>No</v>
      </c>
      <c r="I43" s="53" t="s">
        <v>9</v>
      </c>
      <c r="J43" s="53" t="s">
        <v>10</v>
      </c>
      <c r="K43" s="53" t="s">
        <v>18</v>
      </c>
      <c r="L43" s="53" t="s">
        <v>39</v>
      </c>
      <c r="M43" s="53" t="s">
        <v>1127</v>
      </c>
      <c r="N43" s="53" t="s">
        <v>977</v>
      </c>
      <c r="O43" s="53" t="s">
        <v>22</v>
      </c>
      <c r="P43" s="54" t="s">
        <v>23</v>
      </c>
      <c r="Q43" s="54" t="s">
        <v>23</v>
      </c>
      <c r="R43" s="54">
        <f>COUNTIF('3. Databases'!$B$2:$B$192,$A43)</f>
        <v>0</v>
      </c>
      <c r="S43" s="54" cm="1">
        <f t="array" ref="S43">SUMPRODUCT(('3. Databases'!$B$2:$B$192=$A43)*COUNTIF('Lists (Config)'!$K$4:$K$6,'3. Databases'!$R$2:$R$192))</f>
        <v>0</v>
      </c>
      <c r="T43" s="55" t="s">
        <v>985</v>
      </c>
    </row>
    <row r="44" spans="1:21" s="55" customFormat="1" x14ac:dyDescent="0.3">
      <c r="A44" s="52" t="s">
        <v>192</v>
      </c>
      <c r="B44" s="52" t="s">
        <v>141</v>
      </c>
      <c r="C44" s="52" t="s">
        <v>142</v>
      </c>
      <c r="D44" s="52" t="s">
        <v>67</v>
      </c>
      <c r="E44" s="52" t="s">
        <v>76</v>
      </c>
      <c r="F44" s="52" t="s">
        <v>186</v>
      </c>
      <c r="G44" s="52" t="s">
        <v>69</v>
      </c>
      <c r="H44" s="52" t="str">
        <f t="shared" si="1"/>
        <v>Yes</v>
      </c>
      <c r="I44" s="53" t="s">
        <v>9</v>
      </c>
      <c r="J44" s="53"/>
      <c r="K44" s="53" t="s">
        <v>18</v>
      </c>
      <c r="L44" s="53" t="s">
        <v>39</v>
      </c>
      <c r="M44" s="53" t="s">
        <v>1127</v>
      </c>
      <c r="N44" s="53" t="s">
        <v>977</v>
      </c>
      <c r="O44" s="53" t="s">
        <v>22</v>
      </c>
      <c r="P44" s="54" t="s">
        <v>23</v>
      </c>
      <c r="Q44" s="54" t="s">
        <v>23</v>
      </c>
      <c r="R44" s="54">
        <f>COUNTIF('3. Databases'!$B$2:$B$192,$A44)</f>
        <v>0</v>
      </c>
      <c r="S44" s="54" cm="1">
        <f t="array" ref="S44">SUMPRODUCT(('3. Databases'!$B$2:$B$192=$A44)*COUNTIF('Lists (Config)'!$K$4:$K$6,'3. Databases'!$R$2:$R$192))</f>
        <v>0</v>
      </c>
      <c r="T44" s="55" t="s">
        <v>985</v>
      </c>
      <c r="U44" s="55" t="s">
        <v>1052</v>
      </c>
    </row>
    <row r="45" spans="1:21" s="59" customFormat="1" x14ac:dyDescent="0.3">
      <c r="A45" s="56" t="s">
        <v>143</v>
      </c>
      <c r="B45" s="56" t="s">
        <v>144</v>
      </c>
      <c r="C45" s="56" t="s">
        <v>145</v>
      </c>
      <c r="D45" s="56" t="s">
        <v>67</v>
      </c>
      <c r="E45" s="56" t="s">
        <v>76</v>
      </c>
      <c r="F45" s="56" t="s">
        <v>68</v>
      </c>
      <c r="G45" s="56" t="s">
        <v>69</v>
      </c>
      <c r="H45" s="56" t="str">
        <f t="shared" si="1"/>
        <v>Yes</v>
      </c>
      <c r="I45" s="57" t="s">
        <v>9</v>
      </c>
      <c r="J45" s="57"/>
      <c r="K45" s="57" t="s">
        <v>18</v>
      </c>
      <c r="L45" s="57" t="s">
        <v>39</v>
      </c>
      <c r="M45" s="57" t="s">
        <v>976</v>
      </c>
      <c r="N45" s="57" t="s">
        <v>983</v>
      </c>
      <c r="O45" s="57" t="s">
        <v>22</v>
      </c>
      <c r="P45" s="58" t="s">
        <v>23</v>
      </c>
      <c r="Q45" s="58" t="s">
        <v>23</v>
      </c>
      <c r="R45" s="58">
        <f>COUNTIF('3. Databases'!$B$2:$B$192,$A45)</f>
        <v>0</v>
      </c>
      <c r="S45" s="58" cm="1">
        <f t="array" ref="S45">SUMPRODUCT(('3. Databases'!$B$2:$B$192=$A45)*COUNTIF('Lists (Config)'!$K$4:$K$6,'3. Databases'!$R$2:$R$192))</f>
        <v>0</v>
      </c>
      <c r="T45" s="59" t="s">
        <v>985</v>
      </c>
      <c r="U45" s="59" t="s">
        <v>1050</v>
      </c>
    </row>
    <row r="46" spans="1:21" s="59" customFormat="1" x14ac:dyDescent="0.3">
      <c r="A46" s="56" t="s">
        <v>150</v>
      </c>
      <c r="B46" s="56" t="s">
        <v>151</v>
      </c>
      <c r="C46" s="56" t="s">
        <v>152</v>
      </c>
      <c r="D46" s="56" t="s">
        <v>67</v>
      </c>
      <c r="E46" s="56" t="s">
        <v>61</v>
      </c>
      <c r="F46" s="56" t="s">
        <v>68</v>
      </c>
      <c r="G46" s="56" t="s">
        <v>69</v>
      </c>
      <c r="H46" s="56" t="str">
        <f t="shared" si="1"/>
        <v>Yes</v>
      </c>
      <c r="I46" s="57" t="s">
        <v>9</v>
      </c>
      <c r="J46" s="57" t="s">
        <v>10</v>
      </c>
      <c r="K46" s="57" t="s">
        <v>18</v>
      </c>
      <c r="L46" s="57" t="s">
        <v>39</v>
      </c>
      <c r="M46" s="57" t="s">
        <v>976</v>
      </c>
      <c r="N46" s="57"/>
      <c r="O46" s="57" t="s">
        <v>22</v>
      </c>
      <c r="P46" s="58" t="s">
        <v>23</v>
      </c>
      <c r="Q46" s="58" t="s">
        <v>23</v>
      </c>
      <c r="R46" s="58">
        <f>COUNTIF('3. Databases'!$B$2:$B$192,$A46)</f>
        <v>0</v>
      </c>
      <c r="S46" s="58" cm="1">
        <f t="array" ref="S46">SUMPRODUCT(('3. Databases'!$B$2:$B$192=$A46)*COUNTIF('Lists (Config)'!$K$4:$K$6,'3. Databases'!$R$2:$R$192))</f>
        <v>0</v>
      </c>
      <c r="T46" s="59" t="s">
        <v>984</v>
      </c>
      <c r="U46" s="59" t="s">
        <v>994</v>
      </c>
    </row>
    <row r="47" spans="1:21" s="59" customFormat="1" x14ac:dyDescent="0.3">
      <c r="A47" s="56" t="s">
        <v>187</v>
      </c>
      <c r="B47" s="56" t="s">
        <v>188</v>
      </c>
      <c r="C47" s="56" t="s">
        <v>189</v>
      </c>
      <c r="D47" s="56" t="s">
        <v>60</v>
      </c>
      <c r="E47" s="56" t="s">
        <v>76</v>
      </c>
      <c r="F47" s="56" t="s">
        <v>91</v>
      </c>
      <c r="G47" s="56" t="s">
        <v>69</v>
      </c>
      <c r="H47" s="56" t="str">
        <f t="shared" si="1"/>
        <v>Yes</v>
      </c>
      <c r="I47" s="57" t="s">
        <v>39</v>
      </c>
      <c r="J47" s="57" t="s">
        <v>10</v>
      </c>
      <c r="K47" s="57" t="s">
        <v>18</v>
      </c>
      <c r="L47" s="57" t="s">
        <v>39</v>
      </c>
      <c r="M47" s="57" t="s">
        <v>976</v>
      </c>
      <c r="N47" s="57" t="s">
        <v>980</v>
      </c>
      <c r="O47" s="57" t="s">
        <v>22</v>
      </c>
      <c r="P47" s="58" t="s">
        <v>23</v>
      </c>
      <c r="Q47" s="58" t="s">
        <v>23</v>
      </c>
      <c r="R47" s="58">
        <f>COUNTIF('3. Databases'!$B$2:$B$192,$A47)</f>
        <v>0</v>
      </c>
      <c r="S47" s="58" cm="1">
        <f t="array" ref="S47">SUMPRODUCT(('3. Databases'!$B$2:$B$192=$A47)*COUNTIF('Lists (Config)'!$K$4:$K$6,'3. Databases'!$R$2:$R$192))</f>
        <v>0</v>
      </c>
      <c r="T47" s="59" t="s">
        <v>985</v>
      </c>
      <c r="U47" s="59" t="s">
        <v>1050</v>
      </c>
    </row>
    <row r="48" spans="1:21" s="55" customFormat="1" x14ac:dyDescent="0.3">
      <c r="A48" s="52" t="s">
        <v>175</v>
      </c>
      <c r="B48" s="52" t="s">
        <v>176</v>
      </c>
      <c r="C48" s="52" t="s">
        <v>177</v>
      </c>
      <c r="D48" s="52" t="s">
        <v>60</v>
      </c>
      <c r="E48" s="52" t="s">
        <v>76</v>
      </c>
      <c r="F48" s="52" t="s">
        <v>68</v>
      </c>
      <c r="G48" s="52" t="s">
        <v>69</v>
      </c>
      <c r="H48" s="52" t="str">
        <f t="shared" si="1"/>
        <v>Yes</v>
      </c>
      <c r="I48" s="53" t="s">
        <v>39</v>
      </c>
      <c r="J48" s="53"/>
      <c r="K48" s="53" t="s">
        <v>18</v>
      </c>
      <c r="L48" s="53" t="s">
        <v>39</v>
      </c>
      <c r="M48" s="53" t="s">
        <v>976</v>
      </c>
      <c r="N48" s="53" t="s">
        <v>977</v>
      </c>
      <c r="O48" s="53" t="s">
        <v>22</v>
      </c>
      <c r="P48" s="54" t="s">
        <v>23</v>
      </c>
      <c r="Q48" s="54" t="s">
        <v>23</v>
      </c>
      <c r="R48" s="54">
        <f>COUNTIF('3. Databases'!$B$2:$B$192,$A48)</f>
        <v>0</v>
      </c>
      <c r="S48" s="54" cm="1">
        <f t="array" ref="S48">SUMPRODUCT(('3. Databases'!$B$2:$B$192=$A48)*COUNTIF('Lists (Config)'!$K$4:$K$6,'3. Databases'!$R$2:$R$192))</f>
        <v>0</v>
      </c>
      <c r="T48" s="55" t="s">
        <v>985</v>
      </c>
      <c r="U48" s="55" t="s">
        <v>1050</v>
      </c>
    </row>
    <row r="49" spans="1:21" s="55" customFormat="1" x14ac:dyDescent="0.3">
      <c r="A49" s="52" t="s">
        <v>191</v>
      </c>
      <c r="B49" s="52" t="s">
        <v>176</v>
      </c>
      <c r="C49" s="52" t="s">
        <v>177</v>
      </c>
      <c r="D49" s="52" t="s">
        <v>60</v>
      </c>
      <c r="E49" s="52" t="s">
        <v>76</v>
      </c>
      <c r="F49" s="52" t="s">
        <v>62</v>
      </c>
      <c r="G49" s="52" t="s">
        <v>63</v>
      </c>
      <c r="H49" s="52" t="str">
        <f t="shared" si="1"/>
        <v>No</v>
      </c>
      <c r="I49" s="53" t="s">
        <v>39</v>
      </c>
      <c r="J49" s="53"/>
      <c r="K49" s="53" t="s">
        <v>18</v>
      </c>
      <c r="L49" s="53" t="s">
        <v>39</v>
      </c>
      <c r="M49" s="53" t="s">
        <v>976</v>
      </c>
      <c r="N49" s="53"/>
      <c r="O49" s="53" t="s">
        <v>22</v>
      </c>
      <c r="P49" s="54" t="s">
        <v>23</v>
      </c>
      <c r="Q49" s="54" t="s">
        <v>23</v>
      </c>
      <c r="R49" s="54">
        <f>COUNTIF('3. Databases'!$B$2:$B$192,$A49)</f>
        <v>0</v>
      </c>
      <c r="S49" s="54" cm="1">
        <f t="array" ref="S49">SUMPRODUCT(('3. Databases'!$B$2:$B$192=$A49)*COUNTIF('Lists (Config)'!$K$4:$K$6,'3. Databases'!$R$2:$R$192))</f>
        <v>0</v>
      </c>
      <c r="T49" s="55" t="s">
        <v>985</v>
      </c>
    </row>
    <row r="50" spans="1:21" s="55" customFormat="1" x14ac:dyDescent="0.3">
      <c r="A50" s="52" t="s">
        <v>178</v>
      </c>
      <c r="B50" s="52" t="s">
        <v>179</v>
      </c>
      <c r="C50" s="52" t="s">
        <v>180</v>
      </c>
      <c r="D50" s="52" t="s">
        <v>60</v>
      </c>
      <c r="E50" s="52" t="s">
        <v>76</v>
      </c>
      <c r="F50" s="52" t="s">
        <v>68</v>
      </c>
      <c r="G50" s="52" t="s">
        <v>69</v>
      </c>
      <c r="H50" s="52" t="str">
        <f t="shared" si="1"/>
        <v>Yes</v>
      </c>
      <c r="I50" s="53" t="s">
        <v>39</v>
      </c>
      <c r="J50" s="53"/>
      <c r="K50" s="53" t="s">
        <v>26</v>
      </c>
      <c r="L50" s="53" t="s">
        <v>39</v>
      </c>
      <c r="M50" s="53" t="s">
        <v>976</v>
      </c>
      <c r="N50" s="53" t="s">
        <v>978</v>
      </c>
      <c r="O50" s="53" t="s">
        <v>22</v>
      </c>
      <c r="P50" s="54" t="s">
        <v>23</v>
      </c>
      <c r="Q50" s="54" t="s">
        <v>23</v>
      </c>
      <c r="R50" s="54">
        <f>COUNTIF('3. Databases'!$B$2:$B$192,$A50)</f>
        <v>0</v>
      </c>
      <c r="S50" s="54" cm="1">
        <f t="array" ref="S50">SUMPRODUCT(('3. Databases'!$B$2:$B$192=$A50)*COUNTIF('Lists (Config)'!$K$4:$K$6,'3. Databases'!$R$2:$R$192))</f>
        <v>0</v>
      </c>
      <c r="T50" s="55" t="s">
        <v>985</v>
      </c>
      <c r="U50" s="55" t="s">
        <v>1050</v>
      </c>
    </row>
    <row r="51" spans="1:21" s="55" customFormat="1" x14ac:dyDescent="0.3">
      <c r="A51" s="52" t="s">
        <v>182</v>
      </c>
      <c r="B51" s="52" t="s">
        <v>183</v>
      </c>
      <c r="C51" s="52" t="s">
        <v>184</v>
      </c>
      <c r="D51" s="52" t="s">
        <v>67</v>
      </c>
      <c r="E51" s="52" t="s">
        <v>76</v>
      </c>
      <c r="F51" s="52" t="s">
        <v>68</v>
      </c>
      <c r="G51" s="52" t="s">
        <v>69</v>
      </c>
      <c r="H51" s="52" t="str">
        <f t="shared" si="1"/>
        <v>Yes</v>
      </c>
      <c r="I51" s="53" t="s">
        <v>9</v>
      </c>
      <c r="J51" s="53"/>
      <c r="K51" s="53" t="s">
        <v>18</v>
      </c>
      <c r="L51" s="53" t="s">
        <v>39</v>
      </c>
      <c r="M51" s="53" t="s">
        <v>1127</v>
      </c>
      <c r="N51" s="53" t="s">
        <v>977</v>
      </c>
      <c r="O51" s="53" t="s">
        <v>22</v>
      </c>
      <c r="P51" s="54" t="s">
        <v>23</v>
      </c>
      <c r="Q51" s="54" t="s">
        <v>23</v>
      </c>
      <c r="R51" s="54">
        <f>COUNTIF('3. Databases'!$B$2:$B$192,$A51)</f>
        <v>0</v>
      </c>
      <c r="S51" s="54" cm="1">
        <f t="array" ref="S51">SUMPRODUCT(('3. Databases'!$B$2:$B$192=$A51)*COUNTIF('Lists (Config)'!$K$4:$K$6,'3. Databases'!$R$2:$R$192))</f>
        <v>0</v>
      </c>
      <c r="T51" s="55" t="s">
        <v>985</v>
      </c>
      <c r="U51" s="55" t="s">
        <v>1050</v>
      </c>
    </row>
    <row r="52" spans="1:21" s="55" customFormat="1" x14ac:dyDescent="0.3">
      <c r="A52" s="52" t="s">
        <v>196</v>
      </c>
      <c r="B52" s="52" t="s">
        <v>197</v>
      </c>
      <c r="C52" s="52" t="s">
        <v>198</v>
      </c>
      <c r="D52" s="52" t="s">
        <v>67</v>
      </c>
      <c r="E52" s="52" t="s">
        <v>76</v>
      </c>
      <c r="F52" s="52" t="s">
        <v>91</v>
      </c>
      <c r="G52" s="52" t="s">
        <v>69</v>
      </c>
      <c r="H52" s="52" t="str">
        <f t="shared" si="1"/>
        <v>Yes</v>
      </c>
      <c r="I52" s="53" t="s">
        <v>9</v>
      </c>
      <c r="J52" s="53" t="s">
        <v>10</v>
      </c>
      <c r="K52" s="53" t="s">
        <v>18</v>
      </c>
      <c r="L52" s="53" t="s">
        <v>39</v>
      </c>
      <c r="M52" s="53" t="s">
        <v>976</v>
      </c>
      <c r="N52" s="53" t="s">
        <v>980</v>
      </c>
      <c r="O52" s="53" t="s">
        <v>22</v>
      </c>
      <c r="P52" s="54" t="s">
        <v>23</v>
      </c>
      <c r="Q52" s="54" t="s">
        <v>23</v>
      </c>
      <c r="R52" s="54">
        <f>COUNTIF('3. Databases'!$B$2:$B$192,$A52)</f>
        <v>0</v>
      </c>
      <c r="S52" s="54" cm="1">
        <f t="array" ref="S52">SUMPRODUCT(('3. Databases'!$B$2:$B$192=$A52)*COUNTIF('Lists (Config)'!$K$4:$K$6,'3. Databases'!$R$2:$R$192))</f>
        <v>0</v>
      </c>
      <c r="T52" s="55" t="s">
        <v>985</v>
      </c>
      <c r="U52" s="55" t="s">
        <v>1050</v>
      </c>
    </row>
    <row r="53" spans="1:21" s="63" customFormat="1" ht="34.200000000000003" x14ac:dyDescent="0.3">
      <c r="A53" s="60" t="s">
        <v>199</v>
      </c>
      <c r="B53" s="60" t="s">
        <v>200</v>
      </c>
      <c r="C53" s="60" t="s">
        <v>201</v>
      </c>
      <c r="D53" s="60" t="s">
        <v>60</v>
      </c>
      <c r="E53" s="60" t="s">
        <v>76</v>
      </c>
      <c r="F53" s="60" t="s">
        <v>91</v>
      </c>
      <c r="G53" s="60" t="s">
        <v>78</v>
      </c>
      <c r="H53" s="60" t="str">
        <f t="shared" si="1"/>
        <v>Yes</v>
      </c>
      <c r="I53" s="61" t="s">
        <v>32</v>
      </c>
      <c r="J53" s="61" t="s">
        <v>10</v>
      </c>
      <c r="K53" s="61" t="s">
        <v>26</v>
      </c>
      <c r="L53" s="61" t="s">
        <v>39</v>
      </c>
      <c r="M53" s="61" t="s">
        <v>1127</v>
      </c>
      <c r="N53" s="61" t="s">
        <v>977</v>
      </c>
      <c r="O53" s="61" t="s">
        <v>22</v>
      </c>
      <c r="P53" s="62" t="s">
        <v>23</v>
      </c>
      <c r="Q53" s="62" t="s">
        <v>23</v>
      </c>
      <c r="R53" s="62">
        <f>COUNTIF('3. Databases'!$B$2:$B$192,$A53)</f>
        <v>0</v>
      </c>
      <c r="S53" s="62" cm="1">
        <f t="array" ref="S53">SUMPRODUCT(('3. Databases'!$B$2:$B$192=$A53)*COUNTIF('Lists (Config)'!$K$4:$K$6,'3. Databases'!$R$2:$R$192))</f>
        <v>0</v>
      </c>
      <c r="T53" s="63" t="s">
        <v>984</v>
      </c>
      <c r="U53" s="63" t="s">
        <v>994</v>
      </c>
    </row>
    <row r="54" spans="1:21" s="63" customFormat="1" ht="34.200000000000003" x14ac:dyDescent="0.3">
      <c r="A54" s="60" t="s">
        <v>202</v>
      </c>
      <c r="B54" s="60" t="s">
        <v>200</v>
      </c>
      <c r="C54" s="60" t="s">
        <v>201</v>
      </c>
      <c r="D54" s="60" t="s">
        <v>60</v>
      </c>
      <c r="E54" s="60" t="s">
        <v>76</v>
      </c>
      <c r="F54" s="60" t="s">
        <v>203</v>
      </c>
      <c r="G54" s="60" t="s">
        <v>63</v>
      </c>
      <c r="H54" s="60" t="str">
        <f t="shared" si="1"/>
        <v>No</v>
      </c>
      <c r="I54" s="61" t="s">
        <v>1125</v>
      </c>
      <c r="J54" s="61"/>
      <c r="K54" s="61"/>
      <c r="L54" s="61"/>
      <c r="M54" s="61"/>
      <c r="N54" s="61"/>
      <c r="O54" s="61" t="s">
        <v>22</v>
      </c>
      <c r="P54" s="62" t="s">
        <v>23</v>
      </c>
      <c r="Q54" s="62" t="s">
        <v>23</v>
      </c>
      <c r="R54" s="62">
        <f>COUNTIF('3. Databases'!$B$2:$B$192,$A54)</f>
        <v>0</v>
      </c>
      <c r="S54" s="62" cm="1">
        <f t="array" ref="S54">SUMPRODUCT(('3. Databases'!$B$2:$B$192=$A54)*COUNTIF('Lists (Config)'!$K$4:$K$6,'3. Databases'!$R$2:$R$192))</f>
        <v>0</v>
      </c>
      <c r="T54" s="63" t="s">
        <v>986</v>
      </c>
    </row>
    <row r="55" spans="1:21" s="68" customFormat="1" ht="68.400000000000006" x14ac:dyDescent="0.3">
      <c r="A55" s="60" t="s">
        <v>204</v>
      </c>
      <c r="B55" s="60" t="s">
        <v>205</v>
      </c>
      <c r="C55" s="60" t="s">
        <v>501</v>
      </c>
      <c r="D55" s="60" t="s">
        <v>67</v>
      </c>
      <c r="E55" s="60" t="s">
        <v>61</v>
      </c>
      <c r="F55" s="60" t="s">
        <v>203</v>
      </c>
      <c r="G55" s="60" t="s">
        <v>63</v>
      </c>
      <c r="H55" s="60" t="str">
        <f t="shared" si="1"/>
        <v>No</v>
      </c>
      <c r="I55" s="61" t="s">
        <v>9</v>
      </c>
      <c r="J55" s="61"/>
      <c r="K55" s="61" t="s">
        <v>18</v>
      </c>
      <c r="L55" s="61" t="s">
        <v>39</v>
      </c>
      <c r="M55" s="61" t="s">
        <v>1127</v>
      </c>
      <c r="N55" s="61" t="s">
        <v>1128</v>
      </c>
      <c r="O55" s="61" t="s">
        <v>22</v>
      </c>
      <c r="P55" s="62" t="s">
        <v>23</v>
      </c>
      <c r="Q55" s="62" t="s">
        <v>23</v>
      </c>
      <c r="R55" s="62">
        <f>COUNTIF('3. Databases'!$B$2:$B$192,$A55)</f>
        <v>0</v>
      </c>
      <c r="S55" s="62" cm="1">
        <f t="array" ref="S55">SUMPRODUCT(('3. Databases'!$B$2:$B$192=$A55)*COUNTIF('Lists (Config)'!$K$4:$K$6,'3. Databases'!$R$2:$R$192))</f>
        <v>0</v>
      </c>
      <c r="T55" s="68" t="s">
        <v>984</v>
      </c>
    </row>
    <row r="56" spans="1:21" s="68" customFormat="1" x14ac:dyDescent="0.3">
      <c r="A56" s="60" t="s">
        <v>957</v>
      </c>
      <c r="B56" s="60" t="s">
        <v>959</v>
      </c>
      <c r="C56" s="60"/>
      <c r="D56" s="60"/>
      <c r="E56" s="60" t="s">
        <v>76</v>
      </c>
      <c r="F56" s="60" t="s">
        <v>449</v>
      </c>
      <c r="G56" s="60" t="s">
        <v>33</v>
      </c>
      <c r="H56" s="60" t="str">
        <f t="shared" si="1"/>
        <v>Yes</v>
      </c>
      <c r="I56" s="61" t="s">
        <v>32</v>
      </c>
      <c r="J56" s="61"/>
      <c r="K56" s="61"/>
      <c r="L56" s="61"/>
      <c r="M56" s="61" t="s">
        <v>1123</v>
      </c>
      <c r="N56" s="61" t="s">
        <v>977</v>
      </c>
      <c r="O56" s="61" t="s">
        <v>502</v>
      </c>
      <c r="P56" s="62" t="s">
        <v>15</v>
      </c>
      <c r="Q56" s="62" t="s">
        <v>15</v>
      </c>
      <c r="R56" s="62">
        <f>COUNTIF('3. Databases'!$B$2:$B$192,$A56)</f>
        <v>10</v>
      </c>
      <c r="S56" s="62" cm="1">
        <f t="array" ref="S56">SUMPRODUCT(('3. Databases'!$B$2:$B$192=$A56)*COUNTIF('Lists (Config)'!$K$4:$K$6,'3. Databases'!$R$2:$R$192))</f>
        <v>0</v>
      </c>
      <c r="T56" s="68" t="s">
        <v>989</v>
      </c>
    </row>
    <row r="57" spans="1:21" s="55" customFormat="1" x14ac:dyDescent="0.3">
      <c r="A57" s="52" t="s">
        <v>193</v>
      </c>
      <c r="B57" s="52" t="s">
        <v>194</v>
      </c>
      <c r="C57" s="52" t="s">
        <v>195</v>
      </c>
      <c r="D57" s="52" t="s">
        <v>67</v>
      </c>
      <c r="E57" s="52" t="s">
        <v>76</v>
      </c>
      <c r="F57" s="52" t="s">
        <v>186</v>
      </c>
      <c r="G57" s="52" t="s">
        <v>69</v>
      </c>
      <c r="H57" s="52" t="str">
        <f t="shared" si="1"/>
        <v>Yes</v>
      </c>
      <c r="I57" s="53" t="s">
        <v>16</v>
      </c>
      <c r="J57" s="53"/>
      <c r="K57" s="53" t="s">
        <v>26</v>
      </c>
      <c r="L57" s="53" t="s">
        <v>39</v>
      </c>
      <c r="M57" s="53" t="s">
        <v>1127</v>
      </c>
      <c r="N57" s="53" t="s">
        <v>1128</v>
      </c>
      <c r="O57" s="53" t="s">
        <v>22</v>
      </c>
      <c r="P57" s="54" t="s">
        <v>23</v>
      </c>
      <c r="Q57" s="54" t="s">
        <v>23</v>
      </c>
      <c r="R57" s="54">
        <f>COUNTIF('3. Databases'!$B$2:$B$192,$A57)</f>
        <v>0</v>
      </c>
      <c r="S57" s="54" cm="1">
        <f t="array" ref="S57">SUMPRODUCT(('3. Databases'!$B$2:$B$192=$A57)*COUNTIF('Lists (Config)'!$K$4:$K$6,'3. Databases'!$R$2:$R$192))</f>
        <v>0</v>
      </c>
      <c r="T57" s="55" t="s">
        <v>985</v>
      </c>
      <c r="U57" s="55" t="s">
        <v>1050</v>
      </c>
    </row>
    <row r="58" spans="1:21" s="55" customFormat="1" x14ac:dyDescent="0.3">
      <c r="A58" s="52" t="s">
        <v>206</v>
      </c>
      <c r="B58" s="52" t="s">
        <v>194</v>
      </c>
      <c r="C58" s="52" t="s">
        <v>195</v>
      </c>
      <c r="D58" s="52" t="s">
        <v>67</v>
      </c>
      <c r="E58" s="52" t="s">
        <v>76</v>
      </c>
      <c r="F58" s="52" t="s">
        <v>91</v>
      </c>
      <c r="G58" s="52" t="s">
        <v>69</v>
      </c>
      <c r="H58" s="52" t="str">
        <f t="shared" si="1"/>
        <v>Yes</v>
      </c>
      <c r="I58" s="53" t="s">
        <v>16</v>
      </c>
      <c r="J58" s="53"/>
      <c r="K58" s="53" t="s">
        <v>26</v>
      </c>
      <c r="L58" s="53" t="s">
        <v>39</v>
      </c>
      <c r="M58" s="53" t="s">
        <v>1127</v>
      </c>
      <c r="N58" s="53" t="s">
        <v>1128</v>
      </c>
      <c r="O58" s="53" t="s">
        <v>22</v>
      </c>
      <c r="P58" s="54" t="s">
        <v>23</v>
      </c>
      <c r="Q58" s="54" t="s">
        <v>23</v>
      </c>
      <c r="R58" s="54">
        <f>COUNTIF('3. Databases'!$B$2:$B$192,$A58)</f>
        <v>35</v>
      </c>
      <c r="S58" s="54" cm="1">
        <f t="array" ref="S58">SUMPRODUCT(('3. Databases'!$B$2:$B$192=$A58)*COUNTIF('Lists (Config)'!$K$4:$K$6,'3. Databases'!$R$2:$R$192))</f>
        <v>0</v>
      </c>
      <c r="T58" s="55" t="s">
        <v>988</v>
      </c>
    </row>
    <row r="59" spans="1:21" s="68" customFormat="1" x14ac:dyDescent="0.3">
      <c r="A59" s="60" t="s">
        <v>1089</v>
      </c>
      <c r="B59" s="60" t="s">
        <v>1090</v>
      </c>
      <c r="C59" s="60"/>
      <c r="D59" s="60"/>
      <c r="E59" s="60" t="s">
        <v>76</v>
      </c>
      <c r="F59" s="60" t="s">
        <v>449</v>
      </c>
      <c r="G59" s="60" t="s">
        <v>33</v>
      </c>
      <c r="H59" s="60" t="str">
        <f>IF(ISNUMBER(SEARCH("Microsoft SQL Server",F59)),"Yes","No")</f>
        <v>Yes</v>
      </c>
      <c r="I59" s="61" t="s">
        <v>32</v>
      </c>
      <c r="J59" s="61"/>
      <c r="K59" s="61"/>
      <c r="L59" s="61"/>
      <c r="M59" s="61" t="s">
        <v>1123</v>
      </c>
      <c r="N59" s="61" t="s">
        <v>977</v>
      </c>
      <c r="O59" s="61" t="s">
        <v>502</v>
      </c>
      <c r="P59" s="62" t="s">
        <v>15</v>
      </c>
      <c r="Q59" s="62" t="s">
        <v>15</v>
      </c>
      <c r="R59" s="62">
        <f>COUNTIF('3. Databases'!$B$2:$B$192,$A59)</f>
        <v>5</v>
      </c>
      <c r="S59" s="62" cm="1">
        <f t="array" ref="S59">SUMPRODUCT(('3. Databases'!$B$2:$B$192=$A59)*COUNTIF('Lists (Config)'!$K$4:$K$6,'3. Databases'!$R$2:$R$192))</f>
        <v>0</v>
      </c>
      <c r="T59" s="68" t="s">
        <v>989</v>
      </c>
    </row>
  </sheetData>
  <autoFilter ref="A1:U59" xr:uid="{00000000-0001-0000-0200-000000000000}"/>
  <phoneticPr fontId="16"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xr:uid="{00000000-0002-0000-0200-000000000000}">
          <x14:formula1>
            <xm:f>'Lists (Config)'!$A$4:$A$9</xm:f>
          </x14:formula1>
          <x14:formula2>
            <xm:f>0</xm:f>
          </x14:formula2>
          <xm:sqref>I57:I58 I2:I54</xm:sqref>
        </x14:dataValidation>
        <x14:dataValidation type="list" allowBlank="1" xr:uid="{00000000-0002-0000-0200-000001000000}">
          <x14:formula1>
            <xm:f>'Lists (Config)'!$B$4:$B$8</xm:f>
          </x14:formula1>
          <x14:formula2>
            <xm:f>0</xm:f>
          </x14:formula2>
          <xm:sqref>J57:J58 J2:J54</xm:sqref>
        </x14:dataValidation>
        <x14:dataValidation type="list" allowBlank="1" xr:uid="{00000000-0002-0000-0200-000002000000}">
          <x14:formula1>
            <xm:f>'Lists (Config)'!$C$4:$C$9</xm:f>
          </x14:formula1>
          <x14:formula2>
            <xm:f>0</xm:f>
          </x14:formula2>
          <xm:sqref>K57:K58 K2:K54</xm:sqref>
        </x14:dataValidation>
        <x14:dataValidation type="list" allowBlank="1" xr:uid="{00000000-0002-0000-0200-000003000000}">
          <x14:formula1>
            <xm:f>'Lists (Config)'!$D$4:$D$10</xm:f>
          </x14:formula1>
          <x14:formula2>
            <xm:f>0</xm:f>
          </x14:formula2>
          <xm:sqref>L57:L58 L2:L54</xm:sqref>
        </x14:dataValidation>
        <x14:dataValidation type="list" allowBlank="1" xr:uid="{00000000-0002-0000-0200-000004000000}">
          <x14:formula1>
            <xm:f>'Lists (Config)'!$G$4:$G$13</xm:f>
          </x14:formula1>
          <xm:sqref>O2:O59</xm:sqref>
        </x14:dataValidation>
        <x14:dataValidation type="list" allowBlank="1" showInputMessage="1" showErrorMessage="1" xr:uid="{FC48CD15-CF83-4DA5-A66D-47A76C6BDF2F}">
          <x14:formula1>
            <xm:f>'Lists (Config)'!$J$4:$J$5</xm:f>
          </x14:formula1>
          <xm:sqref>P2:Q104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79"/>
  <sheetViews>
    <sheetView showGridLines="0" zoomScaleNormal="100" workbookViewId="0">
      <pane ySplit="1" topLeftCell="A2" activePane="bottomLeft" state="frozen"/>
      <selection pane="bottomLeft" activeCell="L65" sqref="L65"/>
    </sheetView>
  </sheetViews>
  <sheetFormatPr defaultColWidth="8.6640625" defaultRowHeight="14.4" x14ac:dyDescent="0.3"/>
  <cols>
    <col min="1" max="1" width="10.33203125" bestFit="1" customWidth="1"/>
    <col min="2" max="3" width="24.6640625" customWidth="1"/>
    <col min="4" max="4" width="20" customWidth="1"/>
    <col min="5" max="5" width="8.109375" customWidth="1"/>
    <col min="6" max="6" width="9" hidden="1" customWidth="1"/>
    <col min="7" max="7" width="16.5546875" style="28" hidden="1" customWidth="1"/>
    <col min="8" max="9" width="40.44140625" hidden="1" customWidth="1"/>
    <col min="10" max="10" width="15.5546875" bestFit="1" customWidth="1"/>
    <col min="11" max="11" width="8.5546875" bestFit="1" customWidth="1"/>
    <col min="12" max="12" width="26" customWidth="1"/>
    <col min="13" max="13" width="74.44140625" customWidth="1"/>
    <col min="14" max="14" width="23.44140625" bestFit="1" customWidth="1"/>
    <col min="15" max="15" width="18.6640625" bestFit="1" customWidth="1"/>
    <col min="16" max="16" width="27.6640625" bestFit="1" customWidth="1"/>
    <col min="17" max="17" width="16.5546875" customWidth="1"/>
    <col min="18" max="18" width="14.6640625" bestFit="1" customWidth="1"/>
    <col min="19" max="20" width="15.44140625" bestFit="1" customWidth="1"/>
    <col min="21" max="21" width="77.6640625" bestFit="1" customWidth="1"/>
    <col min="22" max="22" width="73.109375" customWidth="1"/>
  </cols>
  <sheetData>
    <row r="1" spans="1:21" x14ac:dyDescent="0.3">
      <c r="A1" s="4" t="s">
        <v>207</v>
      </c>
      <c r="B1" s="4" t="s">
        <v>208</v>
      </c>
      <c r="C1" s="4" t="s">
        <v>209</v>
      </c>
      <c r="D1" s="4" t="s">
        <v>210</v>
      </c>
      <c r="E1" s="4" t="s">
        <v>211</v>
      </c>
      <c r="F1" s="4" t="s">
        <v>212</v>
      </c>
      <c r="G1" s="4" t="s">
        <v>213</v>
      </c>
      <c r="H1" s="4" t="s">
        <v>504</v>
      </c>
      <c r="I1" s="4" t="s">
        <v>503</v>
      </c>
      <c r="J1" s="4" t="s">
        <v>1</v>
      </c>
      <c r="K1" s="4" t="s">
        <v>3</v>
      </c>
      <c r="L1" s="4" t="s">
        <v>214</v>
      </c>
      <c r="M1" s="4" t="s">
        <v>330</v>
      </c>
      <c r="N1" s="4" t="s">
        <v>1006</v>
      </c>
      <c r="O1" s="4" t="s">
        <v>998</v>
      </c>
      <c r="P1" s="4" t="s">
        <v>1007</v>
      </c>
      <c r="Q1" s="4" t="s">
        <v>999</v>
      </c>
      <c r="R1" s="4" t="s">
        <v>331</v>
      </c>
      <c r="S1" s="4" t="s">
        <v>5</v>
      </c>
      <c r="T1" s="4" t="s">
        <v>7</v>
      </c>
      <c r="U1" s="4" t="s">
        <v>56</v>
      </c>
    </row>
    <row r="2" spans="1:21" x14ac:dyDescent="0.3">
      <c r="A2" s="7" t="s">
        <v>717</v>
      </c>
      <c r="B2" s="6" t="s">
        <v>64</v>
      </c>
      <c r="C2" s="6" t="s">
        <v>596</v>
      </c>
      <c r="D2" s="6" t="s">
        <v>227</v>
      </c>
      <c r="E2" s="6" t="s">
        <v>228</v>
      </c>
      <c r="F2" s="6">
        <v>1665.88</v>
      </c>
      <c r="G2" s="27" t="s">
        <v>597</v>
      </c>
      <c r="H2" s="8" t="s">
        <v>598</v>
      </c>
      <c r="I2" s="6" t="s">
        <v>599</v>
      </c>
      <c r="J2" s="7" t="s">
        <v>40</v>
      </c>
      <c r="K2" s="7"/>
      <c r="L2" s="7"/>
      <c r="M2" s="7"/>
      <c r="N2" s="7"/>
      <c r="O2" s="7"/>
      <c r="P2" s="7"/>
      <c r="Q2" s="7"/>
      <c r="R2" s="7" t="s">
        <v>332</v>
      </c>
      <c r="S2" s="7"/>
      <c r="T2" s="7" t="s">
        <v>595</v>
      </c>
      <c r="U2" s="7"/>
    </row>
    <row r="3" spans="1:21" x14ac:dyDescent="0.3">
      <c r="A3" s="7" t="s">
        <v>718</v>
      </c>
      <c r="B3" s="6" t="s">
        <v>64</v>
      </c>
      <c r="C3" s="6" t="s">
        <v>600</v>
      </c>
      <c r="D3" s="6" t="s">
        <v>227</v>
      </c>
      <c r="E3" s="6" t="s">
        <v>228</v>
      </c>
      <c r="F3" s="6">
        <v>976</v>
      </c>
      <c r="G3" s="27" t="s">
        <v>597</v>
      </c>
      <c r="H3" s="8" t="s">
        <v>601</v>
      </c>
      <c r="I3" s="6" t="s">
        <v>602</v>
      </c>
      <c r="J3" s="7" t="s">
        <v>40</v>
      </c>
      <c r="K3" s="7"/>
      <c r="L3" s="7"/>
      <c r="M3" s="7"/>
      <c r="N3" s="7"/>
      <c r="O3" s="7"/>
      <c r="P3" s="7"/>
      <c r="Q3" s="7"/>
      <c r="R3" s="7" t="s">
        <v>332</v>
      </c>
      <c r="S3" s="7"/>
      <c r="T3" s="7" t="s">
        <v>595</v>
      </c>
      <c r="U3" s="7"/>
    </row>
    <row r="4" spans="1:21" x14ac:dyDescent="0.3">
      <c r="A4" s="7" t="s">
        <v>719</v>
      </c>
      <c r="B4" s="6" t="s">
        <v>64</v>
      </c>
      <c r="C4" s="6" t="s">
        <v>603</v>
      </c>
      <c r="D4" s="6" t="s">
        <v>227</v>
      </c>
      <c r="E4" s="6" t="s">
        <v>228</v>
      </c>
      <c r="F4" s="6">
        <v>2068</v>
      </c>
      <c r="G4" s="27" t="s">
        <v>597</v>
      </c>
      <c r="H4" s="8" t="s">
        <v>604</v>
      </c>
      <c r="I4" s="6" t="s">
        <v>605</v>
      </c>
      <c r="J4" s="7" t="s">
        <v>40</v>
      </c>
      <c r="K4" s="7"/>
      <c r="L4" s="7"/>
      <c r="M4" s="7"/>
      <c r="N4" s="7"/>
      <c r="O4" s="7"/>
      <c r="P4" s="7"/>
      <c r="Q4" s="7"/>
      <c r="R4" s="7" t="s">
        <v>332</v>
      </c>
      <c r="S4" s="7"/>
      <c r="T4" s="7" t="s">
        <v>595</v>
      </c>
      <c r="U4" s="7"/>
    </row>
    <row r="5" spans="1:21" x14ac:dyDescent="0.3">
      <c r="A5" s="7" t="s">
        <v>720</v>
      </c>
      <c r="B5" s="6" t="s">
        <v>64</v>
      </c>
      <c r="C5" s="6" t="s">
        <v>606</v>
      </c>
      <c r="D5" s="6" t="s">
        <v>227</v>
      </c>
      <c r="E5" s="6" t="s">
        <v>228</v>
      </c>
      <c r="F5" s="6">
        <v>2068</v>
      </c>
      <c r="G5" s="27" t="s">
        <v>597</v>
      </c>
      <c r="H5" s="8" t="s">
        <v>607</v>
      </c>
      <c r="I5" s="6" t="s">
        <v>608</v>
      </c>
      <c r="J5" s="7" t="s">
        <v>40</v>
      </c>
      <c r="K5" s="7"/>
      <c r="L5" s="7"/>
      <c r="M5" s="7"/>
      <c r="N5" s="7"/>
      <c r="O5" s="7"/>
      <c r="P5" s="7"/>
      <c r="Q5" s="7"/>
      <c r="R5" s="7" t="s">
        <v>332</v>
      </c>
      <c r="S5" s="7"/>
      <c r="T5" s="7" t="s">
        <v>595</v>
      </c>
      <c r="U5" s="7"/>
    </row>
    <row r="6" spans="1:21" x14ac:dyDescent="0.3">
      <c r="A6" s="7" t="s">
        <v>721</v>
      </c>
      <c r="B6" s="6" t="s">
        <v>64</v>
      </c>
      <c r="C6" s="6" t="s">
        <v>609</v>
      </c>
      <c r="D6" s="6" t="s">
        <v>227</v>
      </c>
      <c r="E6" s="6" t="s">
        <v>228</v>
      </c>
      <c r="F6" s="6">
        <v>2576</v>
      </c>
      <c r="G6" s="27" t="s">
        <v>597</v>
      </c>
      <c r="H6" s="8" t="s">
        <v>610</v>
      </c>
      <c r="I6" s="6" t="s">
        <v>611</v>
      </c>
      <c r="J6" s="7" t="s">
        <v>40</v>
      </c>
      <c r="K6" s="7"/>
      <c r="L6" s="7"/>
      <c r="M6" s="7"/>
      <c r="N6" s="7"/>
      <c r="O6" s="7"/>
      <c r="P6" s="7"/>
      <c r="Q6" s="7"/>
      <c r="R6" s="7" t="s">
        <v>332</v>
      </c>
      <c r="S6" s="7"/>
      <c r="T6" s="7" t="s">
        <v>595</v>
      </c>
      <c r="U6" s="7"/>
    </row>
    <row r="7" spans="1:21" x14ac:dyDescent="0.3">
      <c r="A7" s="7" t="s">
        <v>722</v>
      </c>
      <c r="B7" s="6" t="s">
        <v>64</v>
      </c>
      <c r="C7" s="6" t="s">
        <v>612</v>
      </c>
      <c r="D7" s="6" t="s">
        <v>227</v>
      </c>
      <c r="E7" s="6" t="s">
        <v>228</v>
      </c>
      <c r="F7" s="6">
        <v>3604</v>
      </c>
      <c r="G7" s="27" t="s">
        <v>597</v>
      </c>
      <c r="H7" s="8" t="s">
        <v>613</v>
      </c>
      <c r="I7" s="6" t="s">
        <v>614</v>
      </c>
      <c r="J7" s="7" t="s">
        <v>40</v>
      </c>
      <c r="K7" s="7"/>
      <c r="L7" s="7"/>
      <c r="M7" s="7"/>
      <c r="N7" s="7"/>
      <c r="O7" s="7"/>
      <c r="P7" s="7"/>
      <c r="Q7" s="7"/>
      <c r="R7" s="7" t="s">
        <v>332</v>
      </c>
      <c r="S7" s="7"/>
      <c r="T7" s="7" t="s">
        <v>595</v>
      </c>
      <c r="U7" s="7"/>
    </row>
    <row r="8" spans="1:21" x14ac:dyDescent="0.3">
      <c r="A8" s="7" t="s">
        <v>723</v>
      </c>
      <c r="B8" s="6" t="s">
        <v>64</v>
      </c>
      <c r="C8" s="6" t="s">
        <v>615</v>
      </c>
      <c r="D8" s="6" t="s">
        <v>227</v>
      </c>
      <c r="E8" s="6" t="s">
        <v>228</v>
      </c>
      <c r="F8" s="6">
        <v>1684</v>
      </c>
      <c r="G8" s="27" t="s">
        <v>597</v>
      </c>
      <c r="H8" s="8" t="s">
        <v>616</v>
      </c>
      <c r="I8" s="6" t="s">
        <v>617</v>
      </c>
      <c r="J8" s="7" t="s">
        <v>40</v>
      </c>
      <c r="K8" s="7"/>
      <c r="L8" s="7"/>
      <c r="M8" s="7"/>
      <c r="N8" s="7"/>
      <c r="O8" s="7"/>
      <c r="P8" s="7"/>
      <c r="Q8" s="7"/>
      <c r="R8" s="7" t="s">
        <v>332</v>
      </c>
      <c r="S8" s="7"/>
      <c r="T8" s="7" t="s">
        <v>595</v>
      </c>
      <c r="U8" s="7"/>
    </row>
    <row r="9" spans="1:21" x14ac:dyDescent="0.3">
      <c r="A9" s="7" t="s">
        <v>724</v>
      </c>
      <c r="B9" s="6" t="s">
        <v>64</v>
      </c>
      <c r="C9" s="6" t="s">
        <v>618</v>
      </c>
      <c r="D9" s="6" t="s">
        <v>227</v>
      </c>
      <c r="E9" s="6" t="s">
        <v>228</v>
      </c>
      <c r="F9" s="6">
        <v>208</v>
      </c>
      <c r="G9" s="27" t="s">
        <v>597</v>
      </c>
      <c r="H9" s="8" t="s">
        <v>619</v>
      </c>
      <c r="I9" s="6" t="s">
        <v>620</v>
      </c>
      <c r="J9" s="7" t="s">
        <v>40</v>
      </c>
      <c r="K9" s="7"/>
      <c r="L9" s="7"/>
      <c r="M9" s="7"/>
      <c r="N9" s="7"/>
      <c r="O9" s="7"/>
      <c r="P9" s="7"/>
      <c r="Q9" s="7"/>
      <c r="R9" s="7" t="s">
        <v>332</v>
      </c>
      <c r="S9" s="7"/>
      <c r="T9" s="7" t="s">
        <v>595</v>
      </c>
      <c r="U9" s="7"/>
    </row>
    <row r="10" spans="1:21" x14ac:dyDescent="0.3">
      <c r="A10" s="7" t="s">
        <v>725</v>
      </c>
      <c r="B10" s="6" t="s">
        <v>64</v>
      </c>
      <c r="C10" s="6" t="s">
        <v>621</v>
      </c>
      <c r="D10" s="6" t="s">
        <v>227</v>
      </c>
      <c r="E10" s="6" t="s">
        <v>228</v>
      </c>
      <c r="F10" s="6">
        <v>400</v>
      </c>
      <c r="G10" s="27" t="s">
        <v>597</v>
      </c>
      <c r="H10" s="8" t="s">
        <v>622</v>
      </c>
      <c r="I10" s="6" t="s">
        <v>623</v>
      </c>
      <c r="J10" s="7" t="s">
        <v>40</v>
      </c>
      <c r="K10" s="7"/>
      <c r="L10" s="7"/>
      <c r="M10" s="7"/>
      <c r="N10" s="7"/>
      <c r="O10" s="7"/>
      <c r="P10" s="7"/>
      <c r="Q10" s="7"/>
      <c r="R10" s="7" t="s">
        <v>332</v>
      </c>
      <c r="S10" s="7"/>
      <c r="T10" s="7" t="s">
        <v>595</v>
      </c>
      <c r="U10" s="7"/>
    </row>
    <row r="11" spans="1:21" x14ac:dyDescent="0.3">
      <c r="A11" s="7" t="s">
        <v>726</v>
      </c>
      <c r="B11" s="6" t="s">
        <v>64</v>
      </c>
      <c r="C11" s="6" t="s">
        <v>624</v>
      </c>
      <c r="D11" s="6" t="s">
        <v>227</v>
      </c>
      <c r="E11" s="6" t="s">
        <v>228</v>
      </c>
      <c r="F11" s="6">
        <v>592</v>
      </c>
      <c r="G11" s="27" t="s">
        <v>597</v>
      </c>
      <c r="H11" s="8" t="s">
        <v>625</v>
      </c>
      <c r="I11" s="6" t="s">
        <v>626</v>
      </c>
      <c r="J11" s="7" t="s">
        <v>40</v>
      </c>
      <c r="K11" s="7"/>
      <c r="L11" s="7"/>
      <c r="M11" s="7"/>
      <c r="N11" s="7"/>
      <c r="O11" s="7"/>
      <c r="P11" s="7"/>
      <c r="Q11" s="7"/>
      <c r="R11" s="7" t="s">
        <v>332</v>
      </c>
      <c r="S11" s="7"/>
      <c r="T11" s="7" t="s">
        <v>595</v>
      </c>
      <c r="U11" s="7"/>
    </row>
    <row r="12" spans="1:21" x14ac:dyDescent="0.3">
      <c r="A12" s="7" t="s">
        <v>727</v>
      </c>
      <c r="B12" s="6" t="s">
        <v>64</v>
      </c>
      <c r="C12" s="6" t="s">
        <v>627</v>
      </c>
      <c r="D12" s="6" t="s">
        <v>227</v>
      </c>
      <c r="E12" s="6" t="s">
        <v>228</v>
      </c>
      <c r="F12" s="6">
        <v>592</v>
      </c>
      <c r="G12" s="27" t="s">
        <v>597</v>
      </c>
      <c r="H12" s="8" t="s">
        <v>628</v>
      </c>
      <c r="I12" s="6" t="s">
        <v>629</v>
      </c>
      <c r="J12" s="7" t="s">
        <v>40</v>
      </c>
      <c r="K12" s="7"/>
      <c r="L12" s="7"/>
      <c r="M12" s="7"/>
      <c r="N12" s="7"/>
      <c r="O12" s="7"/>
      <c r="P12" s="7"/>
      <c r="Q12" s="7"/>
      <c r="R12" s="7" t="s">
        <v>332</v>
      </c>
      <c r="S12" s="7"/>
      <c r="T12" s="7" t="s">
        <v>595</v>
      </c>
      <c r="U12" s="7"/>
    </row>
    <row r="13" spans="1:21" x14ac:dyDescent="0.3">
      <c r="A13" s="7" t="s">
        <v>728</v>
      </c>
      <c r="B13" s="6" t="s">
        <v>64</v>
      </c>
      <c r="C13" s="6" t="s">
        <v>630</v>
      </c>
      <c r="D13" s="6" t="s">
        <v>227</v>
      </c>
      <c r="E13" s="6" t="s">
        <v>228</v>
      </c>
      <c r="F13" s="6">
        <v>592</v>
      </c>
      <c r="G13" s="27" t="s">
        <v>597</v>
      </c>
      <c r="H13" s="8" t="s">
        <v>631</v>
      </c>
      <c r="I13" s="6" t="s">
        <v>632</v>
      </c>
      <c r="J13" s="7" t="s">
        <v>40</v>
      </c>
      <c r="K13" s="7"/>
      <c r="L13" s="7"/>
      <c r="M13" s="7"/>
      <c r="N13" s="7"/>
      <c r="O13" s="7"/>
      <c r="P13" s="7"/>
      <c r="Q13" s="7"/>
      <c r="R13" s="7" t="s">
        <v>332</v>
      </c>
      <c r="S13" s="7"/>
      <c r="T13" s="7" t="s">
        <v>595</v>
      </c>
      <c r="U13" s="7"/>
    </row>
    <row r="14" spans="1:21" x14ac:dyDescent="0.3">
      <c r="A14" s="7" t="s">
        <v>729</v>
      </c>
      <c r="B14" s="6" t="s">
        <v>64</v>
      </c>
      <c r="C14" s="6" t="s">
        <v>633</v>
      </c>
      <c r="D14" s="6" t="s">
        <v>227</v>
      </c>
      <c r="E14" s="6" t="s">
        <v>228</v>
      </c>
      <c r="F14" s="6">
        <v>800</v>
      </c>
      <c r="G14" s="27" t="s">
        <v>597</v>
      </c>
      <c r="H14" s="8" t="s">
        <v>634</v>
      </c>
      <c r="I14" s="6" t="s">
        <v>635</v>
      </c>
      <c r="J14" s="7" t="s">
        <v>40</v>
      </c>
      <c r="K14" s="7"/>
      <c r="L14" s="7"/>
      <c r="M14" s="7"/>
      <c r="N14" s="7"/>
      <c r="O14" s="7"/>
      <c r="P14" s="7"/>
      <c r="Q14" s="7"/>
      <c r="R14" s="7" t="s">
        <v>332</v>
      </c>
      <c r="S14" s="7"/>
      <c r="T14" s="7" t="s">
        <v>595</v>
      </c>
      <c r="U14" s="7"/>
    </row>
    <row r="15" spans="1:21" x14ac:dyDescent="0.3">
      <c r="A15" s="7" t="s">
        <v>730</v>
      </c>
      <c r="B15" s="6" t="s">
        <v>64</v>
      </c>
      <c r="C15" s="6" t="s">
        <v>636</v>
      </c>
      <c r="D15" s="6" t="s">
        <v>227</v>
      </c>
      <c r="E15" s="6" t="s">
        <v>228</v>
      </c>
      <c r="F15" s="6">
        <v>144</v>
      </c>
      <c r="G15" s="27" t="s">
        <v>597</v>
      </c>
      <c r="H15" s="8" t="s">
        <v>637</v>
      </c>
      <c r="I15" s="6" t="s">
        <v>638</v>
      </c>
      <c r="J15" s="7" t="s">
        <v>40</v>
      </c>
      <c r="K15" s="7"/>
      <c r="L15" s="7"/>
      <c r="M15" s="7"/>
      <c r="N15" s="7"/>
      <c r="O15" s="7"/>
      <c r="P15" s="7"/>
      <c r="Q15" s="7"/>
      <c r="R15" s="7" t="s">
        <v>332</v>
      </c>
      <c r="S15" s="7"/>
      <c r="T15" s="7" t="s">
        <v>595</v>
      </c>
      <c r="U15" s="7"/>
    </row>
    <row r="16" spans="1:21" x14ac:dyDescent="0.3">
      <c r="A16" s="7" t="s">
        <v>731</v>
      </c>
      <c r="B16" s="6" t="s">
        <v>64</v>
      </c>
      <c r="C16" s="6" t="s">
        <v>639</v>
      </c>
      <c r="D16" s="6" t="s">
        <v>227</v>
      </c>
      <c r="E16" s="6" t="s">
        <v>228</v>
      </c>
      <c r="F16" s="6">
        <v>80</v>
      </c>
      <c r="G16" s="27" t="s">
        <v>597</v>
      </c>
      <c r="H16" s="8" t="s">
        <v>640</v>
      </c>
      <c r="I16" s="6" t="s">
        <v>641</v>
      </c>
      <c r="J16" s="7" t="s">
        <v>40</v>
      </c>
      <c r="K16" s="7"/>
      <c r="L16" s="7"/>
      <c r="M16" s="7"/>
      <c r="N16" s="7"/>
      <c r="O16" s="7"/>
      <c r="P16" s="7"/>
      <c r="Q16" s="7"/>
      <c r="R16" s="7" t="s">
        <v>332</v>
      </c>
      <c r="S16" s="7"/>
      <c r="T16" s="7" t="s">
        <v>595</v>
      </c>
      <c r="U16" s="7"/>
    </row>
    <row r="17" spans="1:21" x14ac:dyDescent="0.3">
      <c r="A17" s="7" t="s">
        <v>732</v>
      </c>
      <c r="B17" s="6" t="s">
        <v>64</v>
      </c>
      <c r="C17" s="6" t="s">
        <v>642</v>
      </c>
      <c r="D17" s="6" t="s">
        <v>227</v>
      </c>
      <c r="E17" s="6" t="s">
        <v>228</v>
      </c>
      <c r="F17" s="6">
        <v>80</v>
      </c>
      <c r="G17" s="27" t="s">
        <v>597</v>
      </c>
      <c r="H17" s="8" t="s">
        <v>643</v>
      </c>
      <c r="I17" s="6" t="s">
        <v>644</v>
      </c>
      <c r="J17" s="7" t="s">
        <v>40</v>
      </c>
      <c r="K17" s="7"/>
      <c r="L17" s="7"/>
      <c r="M17" s="7"/>
      <c r="N17" s="7"/>
      <c r="O17" s="7"/>
      <c r="P17" s="7"/>
      <c r="Q17" s="7"/>
      <c r="R17" s="7" t="s">
        <v>332</v>
      </c>
      <c r="S17" s="7"/>
      <c r="T17" s="7" t="s">
        <v>595</v>
      </c>
      <c r="U17" s="7"/>
    </row>
    <row r="18" spans="1:21" x14ac:dyDescent="0.3">
      <c r="A18" s="7" t="s">
        <v>733</v>
      </c>
      <c r="B18" s="6" t="s">
        <v>64</v>
      </c>
      <c r="C18" s="6" t="s">
        <v>645</v>
      </c>
      <c r="D18" s="6" t="s">
        <v>227</v>
      </c>
      <c r="E18" s="6" t="s">
        <v>228</v>
      </c>
      <c r="F18" s="6">
        <v>80</v>
      </c>
      <c r="G18" s="27" t="s">
        <v>597</v>
      </c>
      <c r="H18" s="8" t="s">
        <v>646</v>
      </c>
      <c r="I18" s="6" t="s">
        <v>647</v>
      </c>
      <c r="J18" s="7" t="s">
        <v>40</v>
      </c>
      <c r="K18" s="7"/>
      <c r="L18" s="7"/>
      <c r="M18" s="7"/>
      <c r="N18" s="7"/>
      <c r="O18" s="7"/>
      <c r="P18" s="7"/>
      <c r="Q18" s="7"/>
      <c r="R18" s="7" t="s">
        <v>332</v>
      </c>
      <c r="S18" s="7"/>
      <c r="T18" s="7" t="s">
        <v>595</v>
      </c>
      <c r="U18" s="7"/>
    </row>
    <row r="19" spans="1:21" x14ac:dyDescent="0.3">
      <c r="A19" s="7" t="s">
        <v>734</v>
      </c>
      <c r="B19" s="6" t="s">
        <v>64</v>
      </c>
      <c r="C19" s="6" t="s">
        <v>648</v>
      </c>
      <c r="D19" s="6" t="s">
        <v>227</v>
      </c>
      <c r="E19" s="6" t="s">
        <v>228</v>
      </c>
      <c r="F19" s="6">
        <v>208</v>
      </c>
      <c r="G19" s="27" t="s">
        <v>597</v>
      </c>
      <c r="H19" s="8" t="s">
        <v>649</v>
      </c>
      <c r="I19" s="6" t="s">
        <v>650</v>
      </c>
      <c r="J19" s="7" t="s">
        <v>40</v>
      </c>
      <c r="K19" s="7"/>
      <c r="L19" s="7"/>
      <c r="M19" s="7"/>
      <c r="N19" s="7"/>
      <c r="O19" s="7"/>
      <c r="P19" s="7"/>
      <c r="Q19" s="7"/>
      <c r="R19" s="7" t="s">
        <v>332</v>
      </c>
      <c r="S19" s="7"/>
      <c r="T19" s="7" t="s">
        <v>595</v>
      </c>
      <c r="U19" s="7"/>
    </row>
    <row r="20" spans="1:21" x14ac:dyDescent="0.3">
      <c r="A20" s="7" t="s">
        <v>735</v>
      </c>
      <c r="B20" s="6" t="s">
        <v>64</v>
      </c>
      <c r="C20" s="6" t="s">
        <v>651</v>
      </c>
      <c r="D20" s="6" t="s">
        <v>227</v>
      </c>
      <c r="E20" s="6" t="s">
        <v>228</v>
      </c>
      <c r="F20" s="6">
        <v>592</v>
      </c>
      <c r="G20" s="27" t="s">
        <v>597</v>
      </c>
      <c r="H20" s="8" t="s">
        <v>652</v>
      </c>
      <c r="I20" s="6" t="s">
        <v>653</v>
      </c>
      <c r="J20" s="7" t="s">
        <v>40</v>
      </c>
      <c r="K20" s="7"/>
      <c r="L20" s="7"/>
      <c r="M20" s="7"/>
      <c r="N20" s="7"/>
      <c r="O20" s="7"/>
      <c r="P20" s="7"/>
      <c r="Q20" s="7"/>
      <c r="R20" s="7" t="s">
        <v>332</v>
      </c>
      <c r="S20" s="7"/>
      <c r="T20" s="7" t="s">
        <v>595</v>
      </c>
      <c r="U20" s="7"/>
    </row>
    <row r="21" spans="1:21" x14ac:dyDescent="0.3">
      <c r="A21" s="7" t="s">
        <v>736</v>
      </c>
      <c r="B21" s="6" t="s">
        <v>64</v>
      </c>
      <c r="C21" s="6" t="s">
        <v>654</v>
      </c>
      <c r="D21" s="6" t="s">
        <v>227</v>
      </c>
      <c r="E21" s="6" t="s">
        <v>228</v>
      </c>
      <c r="F21" s="6">
        <v>2960</v>
      </c>
      <c r="G21" s="27" t="s">
        <v>597</v>
      </c>
      <c r="H21" s="8" t="s">
        <v>655</v>
      </c>
      <c r="I21" s="6" t="s">
        <v>656</v>
      </c>
      <c r="J21" s="7" t="s">
        <v>40</v>
      </c>
      <c r="K21" s="7"/>
      <c r="L21" s="7"/>
      <c r="M21" s="7"/>
      <c r="N21" s="7"/>
      <c r="O21" s="7"/>
      <c r="P21" s="7"/>
      <c r="Q21" s="7"/>
      <c r="R21" s="7" t="s">
        <v>332</v>
      </c>
      <c r="S21" s="7"/>
      <c r="T21" s="7" t="s">
        <v>595</v>
      </c>
      <c r="U21" s="7"/>
    </row>
    <row r="22" spans="1:21" x14ac:dyDescent="0.3">
      <c r="A22" s="7" t="s">
        <v>737</v>
      </c>
      <c r="B22" s="6" t="s">
        <v>64</v>
      </c>
      <c r="C22" s="6" t="s">
        <v>657</v>
      </c>
      <c r="D22" s="6" t="s">
        <v>227</v>
      </c>
      <c r="E22" s="6" t="s">
        <v>228</v>
      </c>
      <c r="F22" s="6">
        <v>16</v>
      </c>
      <c r="G22" s="27" t="s">
        <v>597</v>
      </c>
      <c r="H22" s="8" t="s">
        <v>658</v>
      </c>
      <c r="I22" s="6" t="s">
        <v>659</v>
      </c>
      <c r="J22" s="7" t="s">
        <v>40</v>
      </c>
      <c r="K22" s="7"/>
      <c r="L22" s="7"/>
      <c r="M22" s="7"/>
      <c r="N22" s="7"/>
      <c r="O22" s="7"/>
      <c r="P22" s="7"/>
      <c r="Q22" s="7"/>
      <c r="R22" s="7" t="s">
        <v>332</v>
      </c>
      <c r="S22" s="7"/>
      <c r="T22" s="7" t="s">
        <v>595</v>
      </c>
      <c r="U22" s="7"/>
    </row>
    <row r="23" spans="1:21" x14ac:dyDescent="0.3">
      <c r="A23" s="7" t="s">
        <v>738</v>
      </c>
      <c r="B23" s="6" t="s">
        <v>64</v>
      </c>
      <c r="C23" s="6" t="s">
        <v>660</v>
      </c>
      <c r="D23" s="6" t="s">
        <v>227</v>
      </c>
      <c r="E23" s="6" t="s">
        <v>228</v>
      </c>
      <c r="F23" s="6">
        <v>16</v>
      </c>
      <c r="G23" s="27" t="s">
        <v>597</v>
      </c>
      <c r="H23" s="8" t="s">
        <v>661</v>
      </c>
      <c r="I23" s="6" t="s">
        <v>662</v>
      </c>
      <c r="J23" s="7" t="s">
        <v>40</v>
      </c>
      <c r="K23" s="7"/>
      <c r="L23" s="7"/>
      <c r="M23" s="7"/>
      <c r="N23" s="7"/>
      <c r="O23" s="7"/>
      <c r="P23" s="7"/>
      <c r="Q23" s="7"/>
      <c r="R23" s="7" t="s">
        <v>332</v>
      </c>
      <c r="S23" s="7"/>
      <c r="T23" s="7" t="s">
        <v>595</v>
      </c>
      <c r="U23" s="7"/>
    </row>
    <row r="24" spans="1:21" x14ac:dyDescent="0.3">
      <c r="A24" s="7" t="s">
        <v>739</v>
      </c>
      <c r="B24" s="6" t="s">
        <v>64</v>
      </c>
      <c r="C24" s="6" t="s">
        <v>663</v>
      </c>
      <c r="D24" s="6" t="s">
        <v>227</v>
      </c>
      <c r="E24" s="6" t="s">
        <v>228</v>
      </c>
      <c r="F24" s="6">
        <v>16</v>
      </c>
      <c r="G24" s="27" t="s">
        <v>597</v>
      </c>
      <c r="H24" s="8" t="s">
        <v>664</v>
      </c>
      <c r="I24" s="6" t="s">
        <v>665</v>
      </c>
      <c r="J24" s="7" t="s">
        <v>40</v>
      </c>
      <c r="K24" s="7"/>
      <c r="L24" s="7"/>
      <c r="M24" s="7"/>
      <c r="N24" s="7"/>
      <c r="O24" s="7"/>
      <c r="P24" s="7"/>
      <c r="Q24" s="7"/>
      <c r="R24" s="7" t="s">
        <v>332</v>
      </c>
      <c r="S24" s="7"/>
      <c r="T24" s="7" t="s">
        <v>595</v>
      </c>
      <c r="U24" s="7"/>
    </row>
    <row r="25" spans="1:21" x14ac:dyDescent="0.3">
      <c r="A25" s="7" t="s">
        <v>740</v>
      </c>
      <c r="B25" s="6" t="s">
        <v>64</v>
      </c>
      <c r="C25" s="6" t="s">
        <v>666</v>
      </c>
      <c r="D25" s="6" t="s">
        <v>227</v>
      </c>
      <c r="E25" s="6" t="s">
        <v>228</v>
      </c>
      <c r="F25" s="6">
        <v>16</v>
      </c>
      <c r="G25" s="27" t="s">
        <v>597</v>
      </c>
      <c r="H25" s="8" t="s">
        <v>667</v>
      </c>
      <c r="I25" s="6" t="s">
        <v>668</v>
      </c>
      <c r="J25" s="7" t="s">
        <v>40</v>
      </c>
      <c r="K25" s="7"/>
      <c r="L25" s="7"/>
      <c r="M25" s="7"/>
      <c r="N25" s="7"/>
      <c r="O25" s="7"/>
      <c r="P25" s="7"/>
      <c r="Q25" s="7"/>
      <c r="R25" s="7" t="s">
        <v>332</v>
      </c>
      <c r="S25" s="7"/>
      <c r="T25" s="7" t="s">
        <v>595</v>
      </c>
      <c r="U25" s="7"/>
    </row>
    <row r="26" spans="1:21" x14ac:dyDescent="0.3">
      <c r="A26" s="7" t="s">
        <v>741</v>
      </c>
      <c r="B26" s="6" t="s">
        <v>64</v>
      </c>
      <c r="C26" s="6" t="s">
        <v>669</v>
      </c>
      <c r="D26" s="6" t="s">
        <v>227</v>
      </c>
      <c r="E26" s="6" t="s">
        <v>228</v>
      </c>
      <c r="F26" s="6">
        <v>585.05999999999995</v>
      </c>
      <c r="G26" s="27" t="s">
        <v>597</v>
      </c>
      <c r="H26" s="8" t="s">
        <v>670</v>
      </c>
      <c r="I26" s="6" t="s">
        <v>671</v>
      </c>
      <c r="J26" s="7" t="s">
        <v>40</v>
      </c>
      <c r="K26" s="7"/>
      <c r="L26" s="7"/>
      <c r="M26" s="7"/>
      <c r="N26" s="7"/>
      <c r="O26" s="7"/>
      <c r="P26" s="7"/>
      <c r="Q26" s="7"/>
      <c r="R26" s="7" t="s">
        <v>332</v>
      </c>
      <c r="S26" s="7"/>
      <c r="T26" s="7" t="s">
        <v>595</v>
      </c>
      <c r="U26" s="7"/>
    </row>
    <row r="27" spans="1:21" x14ac:dyDescent="0.3">
      <c r="A27" s="7" t="s">
        <v>742</v>
      </c>
      <c r="B27" s="6" t="s">
        <v>64</v>
      </c>
      <c r="C27" s="6" t="s">
        <v>672</v>
      </c>
      <c r="D27" s="6" t="s">
        <v>227</v>
      </c>
      <c r="E27" s="6" t="s">
        <v>228</v>
      </c>
      <c r="F27" s="6">
        <v>16</v>
      </c>
      <c r="G27" s="27" t="s">
        <v>597</v>
      </c>
      <c r="H27" s="8" t="s">
        <v>673</v>
      </c>
      <c r="I27" s="6" t="s">
        <v>674</v>
      </c>
      <c r="J27" s="7" t="s">
        <v>40</v>
      </c>
      <c r="K27" s="7"/>
      <c r="L27" s="7"/>
      <c r="M27" s="7"/>
      <c r="N27" s="7"/>
      <c r="O27" s="7"/>
      <c r="P27" s="7"/>
      <c r="Q27" s="7"/>
      <c r="R27" s="7" t="s">
        <v>332</v>
      </c>
      <c r="S27" s="7"/>
      <c r="T27" s="7" t="s">
        <v>595</v>
      </c>
      <c r="U27" s="7"/>
    </row>
    <row r="28" spans="1:21" x14ac:dyDescent="0.3">
      <c r="A28" s="7" t="s">
        <v>743</v>
      </c>
      <c r="B28" s="6" t="s">
        <v>64</v>
      </c>
      <c r="C28" s="6" t="s">
        <v>675</v>
      </c>
      <c r="D28" s="6" t="s">
        <v>227</v>
      </c>
      <c r="E28" s="6" t="s">
        <v>228</v>
      </c>
      <c r="F28" s="6">
        <v>5584</v>
      </c>
      <c r="G28" s="27" t="s">
        <v>597</v>
      </c>
      <c r="H28" s="8" t="s">
        <v>676</v>
      </c>
      <c r="I28" s="6" t="s">
        <v>677</v>
      </c>
      <c r="J28" s="7" t="s">
        <v>40</v>
      </c>
      <c r="K28" s="7"/>
      <c r="L28" s="7"/>
      <c r="M28" s="7"/>
      <c r="N28" s="7"/>
      <c r="O28" s="7"/>
      <c r="P28" s="7"/>
      <c r="Q28" s="7"/>
      <c r="R28" s="7" t="s">
        <v>332</v>
      </c>
      <c r="S28" s="7"/>
      <c r="T28" s="7" t="s">
        <v>595</v>
      </c>
      <c r="U28" s="7"/>
    </row>
    <row r="29" spans="1:21" x14ac:dyDescent="0.3">
      <c r="A29" s="7" t="s">
        <v>744</v>
      </c>
      <c r="B29" s="6" t="s">
        <v>64</v>
      </c>
      <c r="C29" s="6" t="s">
        <v>678</v>
      </c>
      <c r="D29" s="6" t="s">
        <v>227</v>
      </c>
      <c r="E29" s="6" t="s">
        <v>228</v>
      </c>
      <c r="F29" s="6">
        <v>16</v>
      </c>
      <c r="G29" s="27" t="s">
        <v>597</v>
      </c>
      <c r="H29" s="8" t="s">
        <v>679</v>
      </c>
      <c r="I29" s="6" t="s">
        <v>680</v>
      </c>
      <c r="J29" s="7" t="s">
        <v>40</v>
      </c>
      <c r="K29" s="7"/>
      <c r="L29" s="7"/>
      <c r="M29" s="7"/>
      <c r="N29" s="7"/>
      <c r="O29" s="7"/>
      <c r="P29" s="7"/>
      <c r="Q29" s="7"/>
      <c r="R29" s="7" t="s">
        <v>332</v>
      </c>
      <c r="S29" s="7"/>
      <c r="T29" s="7" t="s">
        <v>595</v>
      </c>
      <c r="U29" s="7"/>
    </row>
    <row r="30" spans="1:21" x14ac:dyDescent="0.3">
      <c r="A30" s="7" t="s">
        <v>745</v>
      </c>
      <c r="B30" s="6" t="s">
        <v>64</v>
      </c>
      <c r="C30" s="6" t="s">
        <v>681</v>
      </c>
      <c r="D30" s="6" t="s">
        <v>227</v>
      </c>
      <c r="E30" s="6" t="s">
        <v>228</v>
      </c>
      <c r="F30" s="6">
        <v>9.56</v>
      </c>
      <c r="G30" s="27" t="s">
        <v>597</v>
      </c>
      <c r="H30" s="8" t="s">
        <v>682</v>
      </c>
      <c r="I30" s="6" t="s">
        <v>683</v>
      </c>
      <c r="J30" s="7" t="s">
        <v>40</v>
      </c>
      <c r="K30" s="7"/>
      <c r="L30" s="7"/>
      <c r="M30" s="7"/>
      <c r="N30" s="7"/>
      <c r="O30" s="7"/>
      <c r="P30" s="7"/>
      <c r="Q30" s="7"/>
      <c r="R30" s="7" t="s">
        <v>332</v>
      </c>
      <c r="S30" s="7"/>
      <c r="T30" s="7" t="s">
        <v>595</v>
      </c>
      <c r="U30" s="7"/>
    </row>
    <row r="31" spans="1:21" x14ac:dyDescent="0.3">
      <c r="A31" s="7" t="s">
        <v>746</v>
      </c>
      <c r="B31" s="6" t="s">
        <v>64</v>
      </c>
      <c r="C31" s="6" t="s">
        <v>684</v>
      </c>
      <c r="D31" s="6" t="s">
        <v>227</v>
      </c>
      <c r="E31" s="6" t="s">
        <v>228</v>
      </c>
      <c r="F31" s="6">
        <v>144</v>
      </c>
      <c r="G31" s="27" t="s">
        <v>597</v>
      </c>
      <c r="H31" s="8" t="s">
        <v>685</v>
      </c>
      <c r="I31" s="6" t="s">
        <v>686</v>
      </c>
      <c r="J31" s="7" t="s">
        <v>40</v>
      </c>
      <c r="K31" s="7"/>
      <c r="L31" s="7"/>
      <c r="M31" s="7"/>
      <c r="N31" s="7"/>
      <c r="O31" s="7"/>
      <c r="P31" s="7"/>
      <c r="Q31" s="7"/>
      <c r="R31" s="7" t="s">
        <v>332</v>
      </c>
      <c r="S31" s="7"/>
      <c r="T31" s="7" t="s">
        <v>595</v>
      </c>
      <c r="U31" s="7"/>
    </row>
    <row r="32" spans="1:21" x14ac:dyDescent="0.3">
      <c r="A32" s="7" t="s">
        <v>747</v>
      </c>
      <c r="B32" s="6" t="s">
        <v>64</v>
      </c>
      <c r="C32" s="6" t="s">
        <v>687</v>
      </c>
      <c r="D32" s="6" t="s">
        <v>227</v>
      </c>
      <c r="E32" s="6" t="s">
        <v>228</v>
      </c>
      <c r="F32" s="6">
        <v>784</v>
      </c>
      <c r="G32" s="27" t="s">
        <v>597</v>
      </c>
      <c r="H32" s="8" t="s">
        <v>688</v>
      </c>
      <c r="I32" s="6" t="s">
        <v>689</v>
      </c>
      <c r="J32" s="7" t="s">
        <v>40</v>
      </c>
      <c r="K32" s="7"/>
      <c r="L32" s="7"/>
      <c r="M32" s="7"/>
      <c r="N32" s="7"/>
      <c r="O32" s="7"/>
      <c r="P32" s="7"/>
      <c r="Q32" s="7"/>
      <c r="R32" s="7" t="s">
        <v>332</v>
      </c>
      <c r="S32" s="7"/>
      <c r="T32" s="7" t="s">
        <v>595</v>
      </c>
      <c r="U32" s="7"/>
    </row>
    <row r="33" spans="1:21" x14ac:dyDescent="0.3">
      <c r="A33" s="7" t="s">
        <v>748</v>
      </c>
      <c r="B33" s="6" t="s">
        <v>64</v>
      </c>
      <c r="C33" s="6" t="s">
        <v>690</v>
      </c>
      <c r="D33" s="6" t="s">
        <v>227</v>
      </c>
      <c r="E33" s="6" t="s">
        <v>228</v>
      </c>
      <c r="F33" s="6">
        <v>16</v>
      </c>
      <c r="G33" s="27" t="s">
        <v>597</v>
      </c>
      <c r="H33" s="8" t="s">
        <v>691</v>
      </c>
      <c r="I33" s="6" t="s">
        <v>692</v>
      </c>
      <c r="J33" s="7" t="s">
        <v>40</v>
      </c>
      <c r="K33" s="7"/>
      <c r="L33" s="7"/>
      <c r="M33" s="7"/>
      <c r="N33" s="7"/>
      <c r="O33" s="7"/>
      <c r="P33" s="7"/>
      <c r="Q33" s="7"/>
      <c r="R33" s="7" t="s">
        <v>332</v>
      </c>
      <c r="S33" s="7"/>
      <c r="T33" s="7" t="s">
        <v>595</v>
      </c>
      <c r="U33" s="7"/>
    </row>
    <row r="34" spans="1:21" x14ac:dyDescent="0.3">
      <c r="A34" s="7" t="s">
        <v>749</v>
      </c>
      <c r="B34" s="6" t="s">
        <v>64</v>
      </c>
      <c r="C34" s="6" t="s">
        <v>693</v>
      </c>
      <c r="D34" s="6" t="s">
        <v>227</v>
      </c>
      <c r="E34" s="6" t="s">
        <v>228</v>
      </c>
      <c r="F34" s="6">
        <v>208</v>
      </c>
      <c r="G34" s="27" t="s">
        <v>597</v>
      </c>
      <c r="H34" s="8" t="s">
        <v>694</v>
      </c>
      <c r="I34" s="6" t="s">
        <v>695</v>
      </c>
      <c r="J34" s="7" t="s">
        <v>40</v>
      </c>
      <c r="K34" s="7"/>
      <c r="L34" s="7"/>
      <c r="M34" s="7"/>
      <c r="N34" s="7"/>
      <c r="O34" s="7"/>
      <c r="P34" s="7"/>
      <c r="Q34" s="7"/>
      <c r="R34" s="7" t="s">
        <v>332</v>
      </c>
      <c r="S34" s="7"/>
      <c r="T34" s="7" t="s">
        <v>595</v>
      </c>
      <c r="U34" s="7"/>
    </row>
    <row r="35" spans="1:21" x14ac:dyDescent="0.3">
      <c r="A35" s="7" t="s">
        <v>750</v>
      </c>
      <c r="B35" s="6" t="s">
        <v>64</v>
      </c>
      <c r="C35" s="6" t="s">
        <v>696</v>
      </c>
      <c r="D35" s="6" t="s">
        <v>227</v>
      </c>
      <c r="E35" s="6" t="s">
        <v>228</v>
      </c>
      <c r="F35" s="6">
        <v>16</v>
      </c>
      <c r="G35" s="27" t="s">
        <v>597</v>
      </c>
      <c r="H35" s="8" t="s">
        <v>697</v>
      </c>
      <c r="I35" s="6" t="s">
        <v>698</v>
      </c>
      <c r="J35" s="7" t="s">
        <v>40</v>
      </c>
      <c r="K35" s="7"/>
      <c r="L35" s="7"/>
      <c r="M35" s="7"/>
      <c r="N35" s="7"/>
      <c r="O35" s="7"/>
      <c r="P35" s="7"/>
      <c r="Q35" s="7"/>
      <c r="R35" s="7" t="s">
        <v>332</v>
      </c>
      <c r="S35" s="7"/>
      <c r="T35" s="7" t="s">
        <v>595</v>
      </c>
      <c r="U35" s="7"/>
    </row>
    <row r="36" spans="1:21" x14ac:dyDescent="0.3">
      <c r="A36" s="7" t="s">
        <v>751</v>
      </c>
      <c r="B36" s="6" t="s">
        <v>64</v>
      </c>
      <c r="C36" s="6" t="s">
        <v>699</v>
      </c>
      <c r="D36" s="6" t="s">
        <v>227</v>
      </c>
      <c r="E36" s="6" t="s">
        <v>228</v>
      </c>
      <c r="F36" s="6">
        <v>16</v>
      </c>
      <c r="G36" s="27" t="s">
        <v>597</v>
      </c>
      <c r="H36" s="8" t="s">
        <v>700</v>
      </c>
      <c r="I36" s="6" t="s">
        <v>701</v>
      </c>
      <c r="J36" s="7" t="s">
        <v>40</v>
      </c>
      <c r="K36" s="7"/>
      <c r="L36" s="7"/>
      <c r="M36" s="7"/>
      <c r="N36" s="7"/>
      <c r="O36" s="7"/>
      <c r="P36" s="7"/>
      <c r="Q36" s="7"/>
      <c r="R36" s="7" t="s">
        <v>332</v>
      </c>
      <c r="S36" s="7"/>
      <c r="T36" s="7" t="s">
        <v>595</v>
      </c>
      <c r="U36" s="7"/>
    </row>
    <row r="37" spans="1:21" x14ac:dyDescent="0.3">
      <c r="A37" s="7" t="s">
        <v>752</v>
      </c>
      <c r="B37" s="6" t="s">
        <v>64</v>
      </c>
      <c r="C37" s="6" t="s">
        <v>702</v>
      </c>
      <c r="D37" s="6" t="s">
        <v>227</v>
      </c>
      <c r="E37" s="6" t="s">
        <v>228</v>
      </c>
      <c r="F37" s="6">
        <v>16</v>
      </c>
      <c r="G37" s="27" t="s">
        <v>597</v>
      </c>
      <c r="H37" s="8" t="s">
        <v>703</v>
      </c>
      <c r="I37" s="6" t="s">
        <v>704</v>
      </c>
      <c r="J37" s="7" t="s">
        <v>40</v>
      </c>
      <c r="K37" s="7"/>
      <c r="L37" s="7"/>
      <c r="M37" s="7"/>
      <c r="N37" s="7"/>
      <c r="O37" s="7"/>
      <c r="P37" s="7"/>
      <c r="Q37" s="7"/>
      <c r="R37" s="7" t="s">
        <v>332</v>
      </c>
      <c r="S37" s="7"/>
      <c r="T37" s="7" t="s">
        <v>595</v>
      </c>
      <c r="U37" s="7"/>
    </row>
    <row r="38" spans="1:21" x14ac:dyDescent="0.3">
      <c r="A38" s="7" t="s">
        <v>753</v>
      </c>
      <c r="B38" s="6" t="s">
        <v>64</v>
      </c>
      <c r="C38" s="6" t="s">
        <v>705</v>
      </c>
      <c r="D38" s="6" t="s">
        <v>227</v>
      </c>
      <c r="E38" s="6" t="s">
        <v>228</v>
      </c>
      <c r="F38" s="6">
        <v>16</v>
      </c>
      <c r="G38" s="27" t="s">
        <v>597</v>
      </c>
      <c r="H38" s="8" t="s">
        <v>706</v>
      </c>
      <c r="I38" s="6" t="s">
        <v>707</v>
      </c>
      <c r="J38" s="7" t="s">
        <v>40</v>
      </c>
      <c r="K38" s="7"/>
      <c r="L38" s="7"/>
      <c r="M38" s="7"/>
      <c r="N38" s="7"/>
      <c r="O38" s="7"/>
      <c r="P38" s="7"/>
      <c r="Q38" s="7"/>
      <c r="R38" s="7" t="s">
        <v>332</v>
      </c>
      <c r="S38" s="7"/>
      <c r="T38" s="7" t="s">
        <v>595</v>
      </c>
      <c r="U38" s="7"/>
    </row>
    <row r="39" spans="1:21" x14ac:dyDescent="0.3">
      <c r="A39" s="7" t="s">
        <v>754</v>
      </c>
      <c r="B39" s="6" t="s">
        <v>64</v>
      </c>
      <c r="C39" s="6" t="s">
        <v>708</v>
      </c>
      <c r="D39" s="6" t="s">
        <v>227</v>
      </c>
      <c r="E39" s="6" t="s">
        <v>228</v>
      </c>
      <c r="F39" s="6">
        <v>16</v>
      </c>
      <c r="G39" s="27" t="s">
        <v>597</v>
      </c>
      <c r="H39" s="8" t="s">
        <v>709</v>
      </c>
      <c r="I39" s="6" t="s">
        <v>710</v>
      </c>
      <c r="J39" s="7" t="s">
        <v>40</v>
      </c>
      <c r="K39" s="7"/>
      <c r="L39" s="7"/>
      <c r="M39" s="7"/>
      <c r="N39" s="7"/>
      <c r="O39" s="7"/>
      <c r="P39" s="7"/>
      <c r="Q39" s="7"/>
      <c r="R39" s="7" t="s">
        <v>332</v>
      </c>
      <c r="S39" s="7"/>
      <c r="T39" s="7" t="s">
        <v>595</v>
      </c>
      <c r="U39" s="7"/>
    </row>
    <row r="40" spans="1:21" x14ac:dyDescent="0.3">
      <c r="A40" s="7" t="s">
        <v>755</v>
      </c>
      <c r="B40" s="6" t="s">
        <v>64</v>
      </c>
      <c r="C40" s="6" t="s">
        <v>711</v>
      </c>
      <c r="D40" s="6" t="s">
        <v>227</v>
      </c>
      <c r="E40" s="6" t="s">
        <v>228</v>
      </c>
      <c r="F40" s="6">
        <v>16</v>
      </c>
      <c r="G40" s="27" t="s">
        <v>597</v>
      </c>
      <c r="H40" s="8" t="s">
        <v>712</v>
      </c>
      <c r="I40" s="6" t="s">
        <v>713</v>
      </c>
      <c r="J40" s="7" t="s">
        <v>40</v>
      </c>
      <c r="K40" s="7"/>
      <c r="L40" s="7"/>
      <c r="M40" s="7"/>
      <c r="N40" s="7"/>
      <c r="O40" s="7"/>
      <c r="P40" s="7"/>
      <c r="Q40" s="7"/>
      <c r="R40" s="7" t="s">
        <v>332</v>
      </c>
      <c r="S40" s="7"/>
      <c r="T40" s="7" t="s">
        <v>595</v>
      </c>
      <c r="U40" s="7"/>
    </row>
    <row r="41" spans="1:21" x14ac:dyDescent="0.3">
      <c r="A41" s="7" t="s">
        <v>759</v>
      </c>
      <c r="B41" s="6" t="s">
        <v>64</v>
      </c>
      <c r="C41" s="6" t="s">
        <v>714</v>
      </c>
      <c r="D41" s="6" t="s">
        <v>227</v>
      </c>
      <c r="E41" s="6" t="s">
        <v>228</v>
      </c>
      <c r="F41" s="6">
        <v>426.56</v>
      </c>
      <c r="G41" s="27" t="s">
        <v>597</v>
      </c>
      <c r="H41" s="8" t="s">
        <v>715</v>
      </c>
      <c r="I41" s="6" t="s">
        <v>716</v>
      </c>
      <c r="J41" s="7" t="s">
        <v>40</v>
      </c>
      <c r="K41" s="7"/>
      <c r="L41" s="7"/>
      <c r="M41" s="7"/>
      <c r="N41" s="7"/>
      <c r="O41" s="7"/>
      <c r="P41" s="7"/>
      <c r="Q41" s="7"/>
      <c r="R41" s="7" t="s">
        <v>332</v>
      </c>
      <c r="S41" s="7"/>
      <c r="T41" s="7" t="s">
        <v>595</v>
      </c>
      <c r="U41" s="7"/>
    </row>
    <row r="42" spans="1:21" x14ac:dyDescent="0.3">
      <c r="A42" s="7" t="s">
        <v>277</v>
      </c>
      <c r="B42" s="6" t="s">
        <v>79</v>
      </c>
      <c r="C42" s="6" t="s">
        <v>450</v>
      </c>
      <c r="D42" s="6" t="s">
        <v>451</v>
      </c>
      <c r="E42" s="6" t="s">
        <v>228</v>
      </c>
      <c r="F42" s="6" t="s">
        <v>592</v>
      </c>
      <c r="G42" s="27" t="s">
        <v>592</v>
      </c>
      <c r="H42" s="8" t="s">
        <v>592</v>
      </c>
      <c r="I42" s="6" t="s">
        <v>592</v>
      </c>
      <c r="J42" s="7" t="s">
        <v>40</v>
      </c>
      <c r="K42" s="7"/>
      <c r="L42" s="7"/>
      <c r="M42" s="7"/>
      <c r="N42" s="7"/>
      <c r="O42" s="7"/>
      <c r="P42" s="7"/>
      <c r="Q42" s="7"/>
      <c r="R42" s="7" t="s">
        <v>332</v>
      </c>
      <c r="S42" s="7"/>
      <c r="T42" s="7" t="s">
        <v>594</v>
      </c>
      <c r="U42" s="7" t="s">
        <v>499</v>
      </c>
    </row>
    <row r="43" spans="1:21" x14ac:dyDescent="0.3">
      <c r="A43" s="7" t="s">
        <v>278</v>
      </c>
      <c r="B43" s="6" t="s">
        <v>79</v>
      </c>
      <c r="C43" s="6" t="s">
        <v>452</v>
      </c>
      <c r="D43" s="6" t="s">
        <v>451</v>
      </c>
      <c r="E43" s="6" t="s">
        <v>228</v>
      </c>
      <c r="F43" s="6" t="s">
        <v>592</v>
      </c>
      <c r="G43" s="27" t="s">
        <v>592</v>
      </c>
      <c r="H43" s="8" t="s">
        <v>592</v>
      </c>
      <c r="I43" s="6" t="s">
        <v>592</v>
      </c>
      <c r="J43" s="7" t="s">
        <v>40</v>
      </c>
      <c r="K43" s="7"/>
      <c r="L43" s="7"/>
      <c r="M43" s="7"/>
      <c r="N43" s="7"/>
      <c r="O43" s="7"/>
      <c r="P43" s="7"/>
      <c r="Q43" s="7"/>
      <c r="R43" s="7" t="s">
        <v>332</v>
      </c>
      <c r="S43" s="7"/>
      <c r="T43" s="7" t="s">
        <v>594</v>
      </c>
      <c r="U43" s="7" t="s">
        <v>499</v>
      </c>
    </row>
    <row r="44" spans="1:21" x14ac:dyDescent="0.3">
      <c r="A44" s="7" t="s">
        <v>280</v>
      </c>
      <c r="B44" s="6" t="s">
        <v>79</v>
      </c>
      <c r="C44" s="6" t="s">
        <v>453</v>
      </c>
      <c r="D44" s="6" t="s">
        <v>451</v>
      </c>
      <c r="E44" s="6" t="s">
        <v>228</v>
      </c>
      <c r="F44" s="6" t="s">
        <v>592</v>
      </c>
      <c r="G44" s="27" t="s">
        <v>592</v>
      </c>
      <c r="H44" s="8" t="s">
        <v>592</v>
      </c>
      <c r="I44" s="6" t="s">
        <v>592</v>
      </c>
      <c r="J44" s="7" t="s">
        <v>40</v>
      </c>
      <c r="K44" s="7"/>
      <c r="L44" s="7"/>
      <c r="M44" s="7"/>
      <c r="N44" s="7"/>
      <c r="O44" s="7"/>
      <c r="P44" s="7"/>
      <c r="Q44" s="7"/>
      <c r="R44" s="7" t="s">
        <v>332</v>
      </c>
      <c r="S44" s="7"/>
      <c r="T44" s="7" t="s">
        <v>594</v>
      </c>
      <c r="U44" s="7" t="s">
        <v>499</v>
      </c>
    </row>
    <row r="45" spans="1:21" x14ac:dyDescent="0.3">
      <c r="A45" s="7" t="s">
        <v>281</v>
      </c>
      <c r="B45" s="6" t="s">
        <v>79</v>
      </c>
      <c r="C45" s="6" t="s">
        <v>454</v>
      </c>
      <c r="D45" s="6" t="s">
        <v>451</v>
      </c>
      <c r="E45" s="6" t="s">
        <v>228</v>
      </c>
      <c r="F45" s="6" t="s">
        <v>592</v>
      </c>
      <c r="G45" s="27" t="s">
        <v>592</v>
      </c>
      <c r="H45" s="8" t="s">
        <v>592</v>
      </c>
      <c r="I45" s="6" t="s">
        <v>592</v>
      </c>
      <c r="J45" s="7" t="s">
        <v>40</v>
      </c>
      <c r="K45" s="7"/>
      <c r="L45" s="7"/>
      <c r="M45" s="7"/>
      <c r="N45" s="7"/>
      <c r="O45" s="7"/>
      <c r="P45" s="7"/>
      <c r="Q45" s="7"/>
      <c r="R45" s="7" t="s">
        <v>332</v>
      </c>
      <c r="S45" s="7"/>
      <c r="T45" s="7" t="s">
        <v>594</v>
      </c>
      <c r="U45" s="7" t="s">
        <v>499</v>
      </c>
    </row>
    <row r="46" spans="1:21" x14ac:dyDescent="0.3">
      <c r="A46" s="7" t="s">
        <v>283</v>
      </c>
      <c r="B46" s="6" t="s">
        <v>79</v>
      </c>
      <c r="C46" s="6" t="s">
        <v>455</v>
      </c>
      <c r="D46" s="6" t="s">
        <v>451</v>
      </c>
      <c r="E46" s="6" t="s">
        <v>228</v>
      </c>
      <c r="F46" s="6" t="s">
        <v>592</v>
      </c>
      <c r="G46" s="27" t="s">
        <v>592</v>
      </c>
      <c r="H46" s="8" t="s">
        <v>592</v>
      </c>
      <c r="I46" s="6" t="s">
        <v>592</v>
      </c>
      <c r="J46" s="7" t="s">
        <v>40</v>
      </c>
      <c r="K46" s="7"/>
      <c r="L46" s="7"/>
      <c r="M46" s="7"/>
      <c r="N46" s="7"/>
      <c r="O46" s="7"/>
      <c r="P46" s="7"/>
      <c r="Q46" s="7"/>
      <c r="R46" s="7" t="s">
        <v>332</v>
      </c>
      <c r="S46" s="7"/>
      <c r="T46" s="7" t="s">
        <v>594</v>
      </c>
      <c r="U46" s="7" t="s">
        <v>499</v>
      </c>
    </row>
    <row r="47" spans="1:21" x14ac:dyDescent="0.3">
      <c r="A47" s="7" t="s">
        <v>284</v>
      </c>
      <c r="B47" s="6" t="s">
        <v>79</v>
      </c>
      <c r="C47" s="6" t="s">
        <v>456</v>
      </c>
      <c r="D47" s="6" t="s">
        <v>451</v>
      </c>
      <c r="E47" s="6" t="s">
        <v>228</v>
      </c>
      <c r="F47" s="6" t="s">
        <v>592</v>
      </c>
      <c r="G47" s="27" t="s">
        <v>592</v>
      </c>
      <c r="H47" s="8" t="s">
        <v>592</v>
      </c>
      <c r="I47" s="6" t="s">
        <v>592</v>
      </c>
      <c r="J47" s="7" t="s">
        <v>40</v>
      </c>
      <c r="K47" s="7"/>
      <c r="L47" s="7"/>
      <c r="M47" s="7"/>
      <c r="N47" s="7"/>
      <c r="O47" s="7"/>
      <c r="P47" s="7"/>
      <c r="Q47" s="7"/>
      <c r="R47" s="7" t="s">
        <v>332</v>
      </c>
      <c r="S47" s="7"/>
      <c r="T47" s="7" t="s">
        <v>594</v>
      </c>
      <c r="U47" s="7" t="s">
        <v>499</v>
      </c>
    </row>
    <row r="48" spans="1:21" x14ac:dyDescent="0.3">
      <c r="A48" s="7" t="s">
        <v>286</v>
      </c>
      <c r="B48" s="6" t="s">
        <v>79</v>
      </c>
      <c r="C48" s="6" t="s">
        <v>457</v>
      </c>
      <c r="D48" s="6" t="s">
        <v>451</v>
      </c>
      <c r="E48" s="6" t="s">
        <v>228</v>
      </c>
      <c r="F48" s="6" t="s">
        <v>592</v>
      </c>
      <c r="G48" s="27" t="s">
        <v>592</v>
      </c>
      <c r="H48" s="8" t="s">
        <v>592</v>
      </c>
      <c r="I48" s="6" t="s">
        <v>592</v>
      </c>
      <c r="J48" s="7" t="s">
        <v>40</v>
      </c>
      <c r="K48" s="7"/>
      <c r="L48" s="7"/>
      <c r="M48" s="7"/>
      <c r="N48" s="7"/>
      <c r="O48" s="7"/>
      <c r="P48" s="7"/>
      <c r="Q48" s="7"/>
      <c r="R48" s="7" t="s">
        <v>332</v>
      </c>
      <c r="S48" s="7"/>
      <c r="T48" s="7" t="s">
        <v>594</v>
      </c>
      <c r="U48" s="7" t="s">
        <v>499</v>
      </c>
    </row>
    <row r="49" spans="1:21" x14ac:dyDescent="0.3">
      <c r="A49" s="7" t="s">
        <v>287</v>
      </c>
      <c r="B49" s="6" t="s">
        <v>79</v>
      </c>
      <c r="C49" s="6" t="s">
        <v>458</v>
      </c>
      <c r="D49" s="6" t="s">
        <v>451</v>
      </c>
      <c r="E49" s="6" t="s">
        <v>228</v>
      </c>
      <c r="F49" s="6" t="s">
        <v>592</v>
      </c>
      <c r="G49" s="27" t="s">
        <v>592</v>
      </c>
      <c r="H49" s="8" t="s">
        <v>592</v>
      </c>
      <c r="I49" s="6" t="s">
        <v>592</v>
      </c>
      <c r="J49" s="7" t="s">
        <v>40</v>
      </c>
      <c r="K49" s="7"/>
      <c r="L49" s="7"/>
      <c r="M49" s="7"/>
      <c r="N49" s="7"/>
      <c r="O49" s="7"/>
      <c r="P49" s="7"/>
      <c r="Q49" s="7"/>
      <c r="R49" s="7" t="s">
        <v>332</v>
      </c>
      <c r="S49" s="7"/>
      <c r="T49" s="7" t="s">
        <v>594</v>
      </c>
      <c r="U49" s="7" t="s">
        <v>499</v>
      </c>
    </row>
    <row r="50" spans="1:21" x14ac:dyDescent="0.3">
      <c r="A50" s="7" t="s">
        <v>289</v>
      </c>
      <c r="B50" s="6" t="s">
        <v>79</v>
      </c>
      <c r="C50" s="6" t="s">
        <v>459</v>
      </c>
      <c r="D50" s="6" t="s">
        <v>451</v>
      </c>
      <c r="E50" s="6" t="s">
        <v>228</v>
      </c>
      <c r="F50" s="6" t="s">
        <v>592</v>
      </c>
      <c r="G50" s="27" t="s">
        <v>592</v>
      </c>
      <c r="H50" s="8" t="s">
        <v>592</v>
      </c>
      <c r="I50" s="6" t="s">
        <v>592</v>
      </c>
      <c r="J50" s="7" t="s">
        <v>40</v>
      </c>
      <c r="K50" s="7"/>
      <c r="L50" s="7"/>
      <c r="M50" s="7"/>
      <c r="N50" s="7"/>
      <c r="O50" s="7"/>
      <c r="P50" s="7"/>
      <c r="Q50" s="7"/>
      <c r="R50" s="7" t="s">
        <v>332</v>
      </c>
      <c r="S50" s="7"/>
      <c r="T50" s="7" t="s">
        <v>594</v>
      </c>
      <c r="U50" s="7" t="s">
        <v>499</v>
      </c>
    </row>
    <row r="51" spans="1:21" x14ac:dyDescent="0.3">
      <c r="A51" s="7" t="s">
        <v>290</v>
      </c>
      <c r="B51" s="6" t="s">
        <v>79</v>
      </c>
      <c r="C51" s="6" t="s">
        <v>460</v>
      </c>
      <c r="D51" s="6" t="s">
        <v>451</v>
      </c>
      <c r="E51" s="6" t="s">
        <v>228</v>
      </c>
      <c r="F51" s="6" t="s">
        <v>592</v>
      </c>
      <c r="G51" s="27" t="s">
        <v>592</v>
      </c>
      <c r="H51" s="8" t="s">
        <v>592</v>
      </c>
      <c r="I51" s="6" t="s">
        <v>592</v>
      </c>
      <c r="J51" s="7" t="s">
        <v>40</v>
      </c>
      <c r="K51" s="7"/>
      <c r="L51" s="7"/>
      <c r="M51" s="7"/>
      <c r="N51" s="7"/>
      <c r="O51" s="7"/>
      <c r="P51" s="7"/>
      <c r="Q51" s="7"/>
      <c r="R51" s="7" t="s">
        <v>332</v>
      </c>
      <c r="S51" s="7"/>
      <c r="T51" s="7" t="s">
        <v>594</v>
      </c>
      <c r="U51" s="7" t="s">
        <v>499</v>
      </c>
    </row>
    <row r="52" spans="1:21" x14ac:dyDescent="0.3">
      <c r="A52" s="7" t="s">
        <v>292</v>
      </c>
      <c r="B52" s="6" t="s">
        <v>79</v>
      </c>
      <c r="C52" s="6" t="s">
        <v>461</v>
      </c>
      <c r="D52" s="6" t="s">
        <v>451</v>
      </c>
      <c r="E52" s="6" t="s">
        <v>228</v>
      </c>
      <c r="F52" s="6" t="s">
        <v>592</v>
      </c>
      <c r="G52" s="27" t="s">
        <v>592</v>
      </c>
      <c r="H52" s="8" t="s">
        <v>592</v>
      </c>
      <c r="I52" s="6" t="s">
        <v>592</v>
      </c>
      <c r="J52" s="7" t="s">
        <v>40</v>
      </c>
      <c r="K52" s="7"/>
      <c r="L52" s="7"/>
      <c r="M52" s="7"/>
      <c r="N52" s="7"/>
      <c r="O52" s="7"/>
      <c r="P52" s="7"/>
      <c r="Q52" s="7"/>
      <c r="R52" s="7" t="s">
        <v>332</v>
      </c>
      <c r="S52" s="7"/>
      <c r="T52" s="7" t="s">
        <v>594</v>
      </c>
      <c r="U52" s="7" t="s">
        <v>499</v>
      </c>
    </row>
    <row r="53" spans="1:21" x14ac:dyDescent="0.3">
      <c r="A53" s="7" t="s">
        <v>293</v>
      </c>
      <c r="B53" s="6" t="s">
        <v>79</v>
      </c>
      <c r="C53" s="6" t="s">
        <v>462</v>
      </c>
      <c r="D53" s="6" t="s">
        <v>451</v>
      </c>
      <c r="E53" s="6" t="s">
        <v>228</v>
      </c>
      <c r="F53" s="6" t="s">
        <v>592</v>
      </c>
      <c r="G53" s="27" t="s">
        <v>592</v>
      </c>
      <c r="H53" s="8" t="s">
        <v>592</v>
      </c>
      <c r="I53" s="6" t="s">
        <v>592</v>
      </c>
      <c r="J53" s="7" t="s">
        <v>40</v>
      </c>
      <c r="K53" s="7"/>
      <c r="L53" s="7"/>
      <c r="M53" s="7"/>
      <c r="N53" s="7"/>
      <c r="O53" s="7"/>
      <c r="P53" s="7"/>
      <c r="Q53" s="7"/>
      <c r="R53" s="7" t="s">
        <v>332</v>
      </c>
      <c r="S53" s="7"/>
      <c r="T53" s="7" t="s">
        <v>594</v>
      </c>
      <c r="U53" s="7" t="s">
        <v>499</v>
      </c>
    </row>
    <row r="54" spans="1:21" x14ac:dyDescent="0.3">
      <c r="A54" s="7" t="s">
        <v>295</v>
      </c>
      <c r="B54" s="6" t="s">
        <v>79</v>
      </c>
      <c r="C54" s="6" t="s">
        <v>463</v>
      </c>
      <c r="D54" s="6" t="s">
        <v>451</v>
      </c>
      <c r="E54" s="6" t="s">
        <v>228</v>
      </c>
      <c r="F54" s="6" t="s">
        <v>592</v>
      </c>
      <c r="G54" s="27" t="s">
        <v>592</v>
      </c>
      <c r="H54" s="8" t="s">
        <v>592</v>
      </c>
      <c r="I54" s="6" t="s">
        <v>592</v>
      </c>
      <c r="J54" s="7" t="s">
        <v>40</v>
      </c>
      <c r="K54" s="7"/>
      <c r="L54" s="7"/>
      <c r="M54" s="7"/>
      <c r="N54" s="7"/>
      <c r="O54" s="7"/>
      <c r="P54" s="7"/>
      <c r="Q54" s="7"/>
      <c r="R54" s="7" t="s">
        <v>332</v>
      </c>
      <c r="S54" s="7"/>
      <c r="T54" s="7" t="s">
        <v>594</v>
      </c>
      <c r="U54" s="7" t="s">
        <v>499</v>
      </c>
    </row>
    <row r="55" spans="1:21" x14ac:dyDescent="0.3">
      <c r="A55" s="7" t="s">
        <v>296</v>
      </c>
      <c r="B55" s="6" t="s">
        <v>79</v>
      </c>
      <c r="C55" s="6" t="s">
        <v>464</v>
      </c>
      <c r="D55" s="6" t="s">
        <v>451</v>
      </c>
      <c r="E55" s="6" t="s">
        <v>228</v>
      </c>
      <c r="F55" s="6" t="s">
        <v>592</v>
      </c>
      <c r="G55" s="27" t="s">
        <v>592</v>
      </c>
      <c r="H55" s="8" t="s">
        <v>592</v>
      </c>
      <c r="I55" s="6" t="s">
        <v>592</v>
      </c>
      <c r="J55" s="7" t="s">
        <v>40</v>
      </c>
      <c r="K55" s="7"/>
      <c r="L55" s="7"/>
      <c r="M55" s="7"/>
      <c r="N55" s="7"/>
      <c r="O55" s="7"/>
      <c r="P55" s="7"/>
      <c r="Q55" s="7"/>
      <c r="R55" s="7" t="s">
        <v>332</v>
      </c>
      <c r="S55" s="7"/>
      <c r="T55" s="7" t="s">
        <v>594</v>
      </c>
      <c r="U55" s="7" t="s">
        <v>499</v>
      </c>
    </row>
    <row r="56" spans="1:21" x14ac:dyDescent="0.3">
      <c r="A56" s="7" t="s">
        <v>298</v>
      </c>
      <c r="B56" s="6" t="s">
        <v>79</v>
      </c>
      <c r="C56" s="6" t="s">
        <v>465</v>
      </c>
      <c r="D56" s="6" t="s">
        <v>451</v>
      </c>
      <c r="E56" s="6" t="s">
        <v>228</v>
      </c>
      <c r="F56" s="6" t="s">
        <v>592</v>
      </c>
      <c r="G56" s="27" t="s">
        <v>592</v>
      </c>
      <c r="H56" s="8" t="s">
        <v>592</v>
      </c>
      <c r="I56" s="6" t="s">
        <v>592</v>
      </c>
      <c r="J56" s="7" t="s">
        <v>40</v>
      </c>
      <c r="K56" s="7"/>
      <c r="L56" s="7"/>
      <c r="M56" s="7"/>
      <c r="N56" s="7"/>
      <c r="O56" s="7"/>
      <c r="P56" s="7"/>
      <c r="Q56" s="7"/>
      <c r="R56" s="7" t="s">
        <v>332</v>
      </c>
      <c r="S56" s="7"/>
      <c r="T56" s="7" t="s">
        <v>594</v>
      </c>
      <c r="U56" s="7" t="s">
        <v>499</v>
      </c>
    </row>
    <row r="57" spans="1:21" x14ac:dyDescent="0.3">
      <c r="A57" s="7" t="s">
        <v>299</v>
      </c>
      <c r="B57" s="6" t="s">
        <v>79</v>
      </c>
      <c r="C57" s="6" t="s">
        <v>466</v>
      </c>
      <c r="D57" s="6" t="s">
        <v>451</v>
      </c>
      <c r="E57" s="6" t="s">
        <v>228</v>
      </c>
      <c r="F57" s="6" t="s">
        <v>592</v>
      </c>
      <c r="G57" s="27" t="s">
        <v>592</v>
      </c>
      <c r="H57" s="8" t="s">
        <v>592</v>
      </c>
      <c r="I57" s="6" t="s">
        <v>592</v>
      </c>
      <c r="J57" s="7" t="s">
        <v>40</v>
      </c>
      <c r="K57" s="7"/>
      <c r="L57" s="7"/>
      <c r="M57" s="7"/>
      <c r="N57" s="7"/>
      <c r="O57" s="7"/>
      <c r="P57" s="7"/>
      <c r="Q57" s="7"/>
      <c r="R57" s="7" t="s">
        <v>332</v>
      </c>
      <c r="S57" s="7"/>
      <c r="T57" s="7" t="s">
        <v>594</v>
      </c>
      <c r="U57" s="7" t="s">
        <v>499</v>
      </c>
    </row>
    <row r="58" spans="1:21" x14ac:dyDescent="0.3">
      <c r="A58" s="7" t="s">
        <v>301</v>
      </c>
      <c r="B58" s="6" t="s">
        <v>79</v>
      </c>
      <c r="C58" s="6" t="s">
        <v>467</v>
      </c>
      <c r="D58" s="6" t="s">
        <v>451</v>
      </c>
      <c r="E58" s="6" t="s">
        <v>228</v>
      </c>
      <c r="F58" s="6" t="s">
        <v>592</v>
      </c>
      <c r="G58" s="27" t="s">
        <v>592</v>
      </c>
      <c r="H58" s="8" t="s">
        <v>592</v>
      </c>
      <c r="I58" s="6" t="s">
        <v>592</v>
      </c>
      <c r="J58" s="7" t="s">
        <v>40</v>
      </c>
      <c r="K58" s="7"/>
      <c r="L58" s="7"/>
      <c r="M58" s="7"/>
      <c r="N58" s="7"/>
      <c r="O58" s="7"/>
      <c r="P58" s="7"/>
      <c r="Q58" s="7"/>
      <c r="R58" s="7" t="s">
        <v>332</v>
      </c>
      <c r="S58" s="7"/>
      <c r="T58" s="7" t="s">
        <v>594</v>
      </c>
      <c r="U58" s="7" t="s">
        <v>499</v>
      </c>
    </row>
    <row r="59" spans="1:21" x14ac:dyDescent="0.3">
      <c r="A59" s="7" t="s">
        <v>302</v>
      </c>
      <c r="B59" s="6" t="s">
        <v>79</v>
      </c>
      <c r="C59" s="6" t="s">
        <v>468</v>
      </c>
      <c r="D59" s="6" t="s">
        <v>451</v>
      </c>
      <c r="E59" s="6" t="s">
        <v>228</v>
      </c>
      <c r="F59" s="6" t="s">
        <v>592</v>
      </c>
      <c r="G59" s="27" t="s">
        <v>592</v>
      </c>
      <c r="H59" s="8" t="s">
        <v>592</v>
      </c>
      <c r="I59" s="6" t="s">
        <v>592</v>
      </c>
      <c r="J59" s="7" t="s">
        <v>40</v>
      </c>
      <c r="K59" s="7"/>
      <c r="L59" s="7"/>
      <c r="M59" s="7"/>
      <c r="N59" s="7"/>
      <c r="O59" s="7"/>
      <c r="P59" s="7"/>
      <c r="Q59" s="7"/>
      <c r="R59" s="7" t="s">
        <v>332</v>
      </c>
      <c r="S59" s="7"/>
      <c r="T59" s="7" t="s">
        <v>594</v>
      </c>
      <c r="U59" s="7" t="s">
        <v>499</v>
      </c>
    </row>
    <row r="60" spans="1:21" x14ac:dyDescent="0.3">
      <c r="A60" s="7" t="s">
        <v>304</v>
      </c>
      <c r="B60" s="6" t="s">
        <v>79</v>
      </c>
      <c r="C60" s="6" t="s">
        <v>469</v>
      </c>
      <c r="D60" s="6" t="s">
        <v>451</v>
      </c>
      <c r="E60" s="6" t="s">
        <v>228</v>
      </c>
      <c r="F60" s="6" t="s">
        <v>592</v>
      </c>
      <c r="G60" s="27" t="s">
        <v>592</v>
      </c>
      <c r="H60" s="8" t="s">
        <v>592</v>
      </c>
      <c r="I60" s="6" t="s">
        <v>592</v>
      </c>
      <c r="J60" s="7" t="s">
        <v>40</v>
      </c>
      <c r="K60" s="7"/>
      <c r="L60" s="7"/>
      <c r="M60" s="7"/>
      <c r="N60" s="7"/>
      <c r="O60" s="7"/>
      <c r="P60" s="7"/>
      <c r="Q60" s="7"/>
      <c r="R60" s="7" t="s">
        <v>332</v>
      </c>
      <c r="S60" s="7"/>
      <c r="T60" s="7" t="s">
        <v>594</v>
      </c>
      <c r="U60" s="7" t="s">
        <v>499</v>
      </c>
    </row>
    <row r="61" spans="1:21" x14ac:dyDescent="0.3">
      <c r="A61" s="7" t="s">
        <v>305</v>
      </c>
      <c r="B61" s="6" t="s">
        <v>79</v>
      </c>
      <c r="C61" s="6" t="s">
        <v>470</v>
      </c>
      <c r="D61" s="6" t="s">
        <v>451</v>
      </c>
      <c r="E61" s="6" t="s">
        <v>228</v>
      </c>
      <c r="F61" s="6" t="s">
        <v>592</v>
      </c>
      <c r="G61" s="27" t="s">
        <v>592</v>
      </c>
      <c r="H61" s="8" t="s">
        <v>592</v>
      </c>
      <c r="I61" s="6" t="s">
        <v>592</v>
      </c>
      <c r="J61" s="7" t="s">
        <v>40</v>
      </c>
      <c r="K61" s="7"/>
      <c r="L61" s="7"/>
      <c r="M61" s="7"/>
      <c r="N61" s="7"/>
      <c r="O61" s="7"/>
      <c r="P61" s="7"/>
      <c r="Q61" s="7"/>
      <c r="R61" s="7" t="s">
        <v>332</v>
      </c>
      <c r="S61" s="7"/>
      <c r="T61" s="7" t="s">
        <v>594</v>
      </c>
      <c r="U61" s="7" t="s">
        <v>499</v>
      </c>
    </row>
    <row r="62" spans="1:21" x14ac:dyDescent="0.3">
      <c r="A62" s="7" t="s">
        <v>307</v>
      </c>
      <c r="B62" s="6" t="s">
        <v>79</v>
      </c>
      <c r="C62" s="6" t="s">
        <v>471</v>
      </c>
      <c r="D62" s="6" t="s">
        <v>451</v>
      </c>
      <c r="E62" s="6" t="s">
        <v>228</v>
      </c>
      <c r="F62" s="6" t="s">
        <v>592</v>
      </c>
      <c r="G62" s="27" t="s">
        <v>592</v>
      </c>
      <c r="H62" s="8" t="s">
        <v>592</v>
      </c>
      <c r="I62" s="6" t="s">
        <v>592</v>
      </c>
      <c r="J62" s="7" t="s">
        <v>40</v>
      </c>
      <c r="K62" s="7"/>
      <c r="L62" s="7"/>
      <c r="M62" s="7"/>
      <c r="N62" s="7"/>
      <c r="O62" s="7"/>
      <c r="P62" s="7"/>
      <c r="Q62" s="7"/>
      <c r="R62" s="7" t="s">
        <v>332</v>
      </c>
      <c r="S62" s="7"/>
      <c r="T62" s="7" t="s">
        <v>594</v>
      </c>
      <c r="U62" s="7" t="s">
        <v>499</v>
      </c>
    </row>
    <row r="63" spans="1:21" x14ac:dyDescent="0.3">
      <c r="A63" s="7" t="s">
        <v>308</v>
      </c>
      <c r="B63" s="6" t="s">
        <v>79</v>
      </c>
      <c r="C63" s="6" t="s">
        <v>472</v>
      </c>
      <c r="D63" s="6" t="s">
        <v>451</v>
      </c>
      <c r="E63" s="6" t="s">
        <v>228</v>
      </c>
      <c r="F63" s="6" t="s">
        <v>592</v>
      </c>
      <c r="G63" s="27" t="s">
        <v>592</v>
      </c>
      <c r="H63" s="8" t="s">
        <v>592</v>
      </c>
      <c r="I63" s="6" t="s">
        <v>592</v>
      </c>
      <c r="J63" s="7" t="s">
        <v>40</v>
      </c>
      <c r="K63" s="7"/>
      <c r="L63" s="7"/>
      <c r="M63" s="7"/>
      <c r="N63" s="7"/>
      <c r="O63" s="7"/>
      <c r="P63" s="7"/>
      <c r="Q63" s="7"/>
      <c r="R63" s="7" t="s">
        <v>332</v>
      </c>
      <c r="S63" s="7"/>
      <c r="T63" s="7" t="s">
        <v>594</v>
      </c>
      <c r="U63" s="7" t="s">
        <v>499</v>
      </c>
    </row>
    <row r="64" spans="1:21" x14ac:dyDescent="0.3">
      <c r="A64" s="7" t="s">
        <v>310</v>
      </c>
      <c r="B64" s="6" t="s">
        <v>79</v>
      </c>
      <c r="C64" s="6" t="s">
        <v>473</v>
      </c>
      <c r="D64" s="6" t="s">
        <v>451</v>
      </c>
      <c r="E64" s="6" t="s">
        <v>228</v>
      </c>
      <c r="F64" s="6" t="s">
        <v>592</v>
      </c>
      <c r="G64" s="27" t="s">
        <v>592</v>
      </c>
      <c r="H64" s="8" t="s">
        <v>592</v>
      </c>
      <c r="I64" s="6" t="s">
        <v>592</v>
      </c>
      <c r="J64" s="7" t="s">
        <v>40</v>
      </c>
      <c r="K64" s="7"/>
      <c r="L64" s="7"/>
      <c r="M64" s="7"/>
      <c r="N64" s="7"/>
      <c r="O64" s="7"/>
      <c r="P64" s="7"/>
      <c r="Q64" s="7"/>
      <c r="R64" s="7" t="s">
        <v>332</v>
      </c>
      <c r="S64" s="7"/>
      <c r="T64" s="7" t="s">
        <v>594</v>
      </c>
      <c r="U64" s="7" t="s">
        <v>499</v>
      </c>
    </row>
    <row r="65" spans="1:21" ht="34.200000000000003" x14ac:dyDescent="0.3">
      <c r="A65" s="48" t="s">
        <v>311</v>
      </c>
      <c r="B65" s="49" t="s">
        <v>110</v>
      </c>
      <c r="C65" s="49" t="s">
        <v>474</v>
      </c>
      <c r="D65" s="49" t="s">
        <v>475</v>
      </c>
      <c r="E65" s="49" t="s">
        <v>228</v>
      </c>
      <c r="F65" s="49">
        <v>459280</v>
      </c>
      <c r="G65" s="50" t="s">
        <v>524</v>
      </c>
      <c r="H65" s="51" t="s">
        <v>522</v>
      </c>
      <c r="I65" s="49" t="s">
        <v>523</v>
      </c>
      <c r="J65" s="48" t="s">
        <v>40</v>
      </c>
      <c r="K65" s="48"/>
      <c r="L65" s="48"/>
      <c r="M65" s="48" t="s">
        <v>1092</v>
      </c>
      <c r="N65" s="48"/>
      <c r="O65" s="48"/>
      <c r="P65" s="48"/>
      <c r="Q65" s="48"/>
      <c r="R65" s="48" t="s">
        <v>332</v>
      </c>
      <c r="S65" s="48"/>
      <c r="T65" s="48" t="s">
        <v>594</v>
      </c>
      <c r="U65" s="48" t="s">
        <v>1093</v>
      </c>
    </row>
    <row r="66" spans="1:21" x14ac:dyDescent="0.3">
      <c r="A66" s="7" t="s">
        <v>313</v>
      </c>
      <c r="B66" s="6" t="s">
        <v>110</v>
      </c>
      <c r="C66" s="6" t="s">
        <v>476</v>
      </c>
      <c r="D66" s="6" t="s">
        <v>475</v>
      </c>
      <c r="E66" s="6" t="s">
        <v>228</v>
      </c>
      <c r="F66" s="6">
        <v>318544</v>
      </c>
      <c r="G66" s="27" t="s">
        <v>529</v>
      </c>
      <c r="H66" s="8" t="s">
        <v>527</v>
      </c>
      <c r="I66" s="6" t="s">
        <v>528</v>
      </c>
      <c r="J66" s="7" t="s">
        <v>40</v>
      </c>
      <c r="K66" s="7"/>
      <c r="L66" s="7"/>
      <c r="M66" s="7"/>
      <c r="N66" s="7"/>
      <c r="O66" s="7"/>
      <c r="P66" s="7"/>
      <c r="Q66" s="7"/>
      <c r="R66" s="7" t="s">
        <v>332</v>
      </c>
      <c r="S66" s="7"/>
      <c r="T66" s="7" t="s">
        <v>594</v>
      </c>
      <c r="U66" s="7" t="s">
        <v>499</v>
      </c>
    </row>
    <row r="67" spans="1:21" x14ac:dyDescent="0.3">
      <c r="A67" s="7" t="s">
        <v>314</v>
      </c>
      <c r="B67" s="6" t="s">
        <v>110</v>
      </c>
      <c r="C67" s="6" t="s">
        <v>477</v>
      </c>
      <c r="D67" s="6" t="s">
        <v>475</v>
      </c>
      <c r="E67" s="6" t="s">
        <v>228</v>
      </c>
      <c r="F67" s="6" t="s">
        <v>592</v>
      </c>
      <c r="G67" s="27" t="s">
        <v>592</v>
      </c>
      <c r="H67" s="8" t="s">
        <v>592</v>
      </c>
      <c r="I67" s="6" t="s">
        <v>592</v>
      </c>
      <c r="J67" s="7" t="s">
        <v>40</v>
      </c>
      <c r="K67" s="7"/>
      <c r="L67" s="7"/>
      <c r="M67" s="7"/>
      <c r="N67" s="7"/>
      <c r="O67" s="7"/>
      <c r="P67" s="7"/>
      <c r="Q67" s="7"/>
      <c r="R67" s="7" t="s">
        <v>332</v>
      </c>
      <c r="S67" s="7"/>
      <c r="T67" s="7" t="s">
        <v>594</v>
      </c>
      <c r="U67" s="7" t="s">
        <v>499</v>
      </c>
    </row>
    <row r="68" spans="1:21" x14ac:dyDescent="0.3">
      <c r="A68" s="7" t="s">
        <v>315</v>
      </c>
      <c r="B68" s="6" t="s">
        <v>110</v>
      </c>
      <c r="C68" s="6" t="s">
        <v>478</v>
      </c>
      <c r="D68" s="6" t="s">
        <v>475</v>
      </c>
      <c r="E68" s="6" t="s">
        <v>228</v>
      </c>
      <c r="F68" s="6" t="s">
        <v>592</v>
      </c>
      <c r="G68" s="27" t="s">
        <v>592</v>
      </c>
      <c r="H68" s="8" t="s">
        <v>592</v>
      </c>
      <c r="I68" s="6" t="s">
        <v>592</v>
      </c>
      <c r="J68" s="7" t="s">
        <v>40</v>
      </c>
      <c r="K68" s="7"/>
      <c r="L68" s="7"/>
      <c r="M68" s="7"/>
      <c r="N68" s="7"/>
      <c r="O68" s="7"/>
      <c r="P68" s="7"/>
      <c r="Q68" s="7"/>
      <c r="R68" s="7" t="s">
        <v>332</v>
      </c>
      <c r="S68" s="7"/>
      <c r="T68" s="7" t="s">
        <v>594</v>
      </c>
      <c r="U68" s="7" t="s">
        <v>499</v>
      </c>
    </row>
    <row r="69" spans="1:21" x14ac:dyDescent="0.3">
      <c r="A69" s="7" t="s">
        <v>316</v>
      </c>
      <c r="B69" s="6" t="s">
        <v>110</v>
      </c>
      <c r="C69" s="6" t="s">
        <v>479</v>
      </c>
      <c r="D69" s="6" t="s">
        <v>475</v>
      </c>
      <c r="E69" s="6" t="s">
        <v>228</v>
      </c>
      <c r="F69" s="6" t="s">
        <v>592</v>
      </c>
      <c r="G69" s="27" t="s">
        <v>592</v>
      </c>
      <c r="H69" s="8" t="s">
        <v>592</v>
      </c>
      <c r="I69" s="6" t="s">
        <v>592</v>
      </c>
      <c r="J69" s="7" t="s">
        <v>40</v>
      </c>
      <c r="K69" s="7"/>
      <c r="L69" s="7"/>
      <c r="M69" s="7"/>
      <c r="N69" s="7"/>
      <c r="O69" s="7"/>
      <c r="P69" s="7"/>
      <c r="Q69" s="7"/>
      <c r="R69" s="7" t="s">
        <v>332</v>
      </c>
      <c r="S69" s="7"/>
      <c r="T69" s="7" t="s">
        <v>594</v>
      </c>
      <c r="U69" s="7" t="s">
        <v>499</v>
      </c>
    </row>
    <row r="70" spans="1:21" x14ac:dyDescent="0.3">
      <c r="A70" s="7" t="s">
        <v>215</v>
      </c>
      <c r="B70" s="6" t="s">
        <v>140</v>
      </c>
      <c r="C70" s="6" t="s">
        <v>226</v>
      </c>
      <c r="D70" s="6" t="s">
        <v>227</v>
      </c>
      <c r="E70" s="6" t="s">
        <v>228</v>
      </c>
      <c r="F70" s="6">
        <v>336</v>
      </c>
      <c r="G70" s="27" t="s">
        <v>507</v>
      </c>
      <c r="H70" s="8" t="s">
        <v>505</v>
      </c>
      <c r="I70" s="6" t="s">
        <v>506</v>
      </c>
      <c r="J70" s="7" t="s">
        <v>9</v>
      </c>
      <c r="K70" s="7" t="s">
        <v>34</v>
      </c>
      <c r="L70" s="7" t="s">
        <v>996</v>
      </c>
      <c r="M70" s="7" t="s">
        <v>997</v>
      </c>
      <c r="N70" s="7" t="s">
        <v>226</v>
      </c>
      <c r="O70" s="7" t="s">
        <v>1005</v>
      </c>
      <c r="P70" s="7" t="s">
        <v>1008</v>
      </c>
      <c r="Q70" s="7" t="s">
        <v>1000</v>
      </c>
      <c r="R70" s="7" t="s">
        <v>332</v>
      </c>
      <c r="S70" s="7" t="s">
        <v>40</v>
      </c>
      <c r="T70" s="7" t="s">
        <v>46</v>
      </c>
      <c r="U70" s="7" t="s">
        <v>333</v>
      </c>
    </row>
    <row r="71" spans="1:21" x14ac:dyDescent="0.3">
      <c r="A71" s="7" t="s">
        <v>220</v>
      </c>
      <c r="B71" s="6" t="s">
        <v>140</v>
      </c>
      <c r="C71" s="6" t="s">
        <v>231</v>
      </c>
      <c r="D71" s="6" t="s">
        <v>217</v>
      </c>
      <c r="E71" s="6" t="s">
        <v>228</v>
      </c>
      <c r="F71" s="6">
        <v>12.56</v>
      </c>
      <c r="G71" s="27" t="s">
        <v>507</v>
      </c>
      <c r="H71" s="8" t="s">
        <v>508</v>
      </c>
      <c r="I71" s="6" t="s">
        <v>509</v>
      </c>
      <c r="J71" s="7" t="s">
        <v>40</v>
      </c>
      <c r="K71" s="7" t="s">
        <v>33</v>
      </c>
      <c r="L71" s="7"/>
      <c r="M71" s="7"/>
      <c r="N71" s="7"/>
      <c r="O71" s="7"/>
      <c r="P71" s="7"/>
      <c r="Q71" s="7"/>
      <c r="R71" s="7" t="s">
        <v>332</v>
      </c>
      <c r="S71" s="7" t="s">
        <v>42</v>
      </c>
      <c r="T71" s="7" t="s">
        <v>46</v>
      </c>
      <c r="U71" s="7" t="s">
        <v>1001</v>
      </c>
    </row>
    <row r="72" spans="1:21" x14ac:dyDescent="0.3">
      <c r="A72" s="7" t="s">
        <v>221</v>
      </c>
      <c r="B72" s="6" t="s">
        <v>140</v>
      </c>
      <c r="C72" s="6" t="s">
        <v>234</v>
      </c>
      <c r="D72" s="6" t="s">
        <v>227</v>
      </c>
      <c r="E72" s="6" t="s">
        <v>228</v>
      </c>
      <c r="F72" s="6">
        <v>16</v>
      </c>
      <c r="G72" s="27" t="s">
        <v>507</v>
      </c>
      <c r="H72" s="8" t="s">
        <v>510</v>
      </c>
      <c r="I72" s="6" t="s">
        <v>511</v>
      </c>
      <c r="J72" s="7" t="s">
        <v>32</v>
      </c>
      <c r="K72" s="7" t="s">
        <v>34</v>
      </c>
      <c r="L72" s="7" t="s">
        <v>1002</v>
      </c>
      <c r="M72" s="7" t="s">
        <v>972</v>
      </c>
      <c r="N72" s="7"/>
      <c r="O72" s="7"/>
      <c r="P72" s="7"/>
      <c r="Q72" s="7"/>
      <c r="R72" s="7" t="s">
        <v>332</v>
      </c>
      <c r="S72" s="7" t="s">
        <v>13</v>
      </c>
      <c r="T72" s="7" t="s">
        <v>46</v>
      </c>
      <c r="U72" s="7" t="s">
        <v>333</v>
      </c>
    </row>
    <row r="73" spans="1:21" x14ac:dyDescent="0.3">
      <c r="A73" s="7" t="s">
        <v>224</v>
      </c>
      <c r="B73" s="6" t="s">
        <v>140</v>
      </c>
      <c r="C73" s="6" t="s">
        <v>237</v>
      </c>
      <c r="D73" s="6" t="s">
        <v>227</v>
      </c>
      <c r="E73" s="6" t="s">
        <v>228</v>
      </c>
      <c r="F73" s="6">
        <v>7892</v>
      </c>
      <c r="G73" s="27" t="s">
        <v>507</v>
      </c>
      <c r="H73" s="8" t="s">
        <v>512</v>
      </c>
      <c r="I73" s="6" t="s">
        <v>513</v>
      </c>
      <c r="J73" s="7" t="s">
        <v>9</v>
      </c>
      <c r="K73" s="7" t="s">
        <v>11</v>
      </c>
      <c r="L73" s="7" t="s">
        <v>1002</v>
      </c>
      <c r="M73" s="7" t="s">
        <v>1004</v>
      </c>
      <c r="N73" s="7" t="s">
        <v>1009</v>
      </c>
      <c r="O73" s="7" t="s">
        <v>1049</v>
      </c>
      <c r="P73" s="7" t="s">
        <v>1009</v>
      </c>
      <c r="Q73" s="7" t="s">
        <v>1003</v>
      </c>
      <c r="R73" s="7" t="s">
        <v>332</v>
      </c>
      <c r="S73" s="7" t="s">
        <v>13</v>
      </c>
      <c r="T73" s="7" t="s">
        <v>46</v>
      </c>
      <c r="U73" s="7" t="s">
        <v>333</v>
      </c>
    </row>
    <row r="74" spans="1:21" x14ac:dyDescent="0.3">
      <c r="A74" s="7" t="s">
        <v>225</v>
      </c>
      <c r="B74" s="6" t="s">
        <v>140</v>
      </c>
      <c r="C74" s="6" t="s">
        <v>240</v>
      </c>
      <c r="D74" s="6" t="s">
        <v>217</v>
      </c>
      <c r="E74" s="6" t="s">
        <v>228</v>
      </c>
      <c r="F74" s="6">
        <v>610.38</v>
      </c>
      <c r="G74" s="27" t="s">
        <v>507</v>
      </c>
      <c r="H74" s="8" t="s">
        <v>514</v>
      </c>
      <c r="I74" s="6" t="s">
        <v>515</v>
      </c>
      <c r="J74" s="7" t="s">
        <v>16</v>
      </c>
      <c r="K74" s="7" t="s">
        <v>33</v>
      </c>
      <c r="L74" s="7" t="s">
        <v>1002</v>
      </c>
      <c r="M74" s="7" t="s">
        <v>972</v>
      </c>
      <c r="N74" s="7"/>
      <c r="O74" s="7"/>
      <c r="P74" s="7"/>
      <c r="Q74" s="7"/>
      <c r="R74" s="7" t="s">
        <v>332</v>
      </c>
      <c r="S74" s="7" t="s">
        <v>42</v>
      </c>
      <c r="T74" s="7" t="s">
        <v>46</v>
      </c>
      <c r="U74" s="7" t="s">
        <v>333</v>
      </c>
    </row>
    <row r="75" spans="1:21" ht="68.400000000000006" x14ac:dyDescent="0.3">
      <c r="A75" s="48" t="s">
        <v>229</v>
      </c>
      <c r="B75" s="49" t="s">
        <v>140</v>
      </c>
      <c r="C75" s="49" t="s">
        <v>243</v>
      </c>
      <c r="D75" s="49" t="s">
        <v>217</v>
      </c>
      <c r="E75" s="49" t="s">
        <v>228</v>
      </c>
      <c r="F75" s="49">
        <v>43146.559999999998</v>
      </c>
      <c r="G75" s="50" t="s">
        <v>507</v>
      </c>
      <c r="H75" s="51" t="s">
        <v>516</v>
      </c>
      <c r="I75" s="49" t="s">
        <v>517</v>
      </c>
      <c r="J75" s="48" t="s">
        <v>9</v>
      </c>
      <c r="K75" s="48" t="s">
        <v>34</v>
      </c>
      <c r="L75" s="48" t="s">
        <v>996</v>
      </c>
      <c r="M75" s="48" t="s">
        <v>1065</v>
      </c>
      <c r="N75" s="48" t="s">
        <v>1010</v>
      </c>
      <c r="O75" s="48" t="s">
        <v>1101</v>
      </c>
      <c r="P75" s="48" t="s">
        <v>1010</v>
      </c>
      <c r="Q75" s="48" t="s">
        <v>971</v>
      </c>
      <c r="R75" s="48" t="s">
        <v>332</v>
      </c>
      <c r="S75" s="48" t="s">
        <v>40</v>
      </c>
      <c r="T75" s="48" t="s">
        <v>46</v>
      </c>
      <c r="U75" s="48" t="s">
        <v>1100</v>
      </c>
    </row>
    <row r="76" spans="1:21" ht="24" x14ac:dyDescent="0.3">
      <c r="A76" s="7" t="s">
        <v>230</v>
      </c>
      <c r="B76" s="6" t="s">
        <v>140</v>
      </c>
      <c r="C76" s="6" t="s">
        <v>246</v>
      </c>
      <c r="D76" s="6" t="s">
        <v>217</v>
      </c>
      <c r="E76" s="6" t="s">
        <v>228</v>
      </c>
      <c r="F76" s="6">
        <v>4983.5600000000004</v>
      </c>
      <c r="G76" s="27" t="s">
        <v>507</v>
      </c>
      <c r="H76" s="8" t="s">
        <v>518</v>
      </c>
      <c r="I76" s="6" t="s">
        <v>519</v>
      </c>
      <c r="J76" s="7" t="s">
        <v>16</v>
      </c>
      <c r="K76" s="7" t="s">
        <v>34</v>
      </c>
      <c r="L76" s="7" t="s">
        <v>996</v>
      </c>
      <c r="M76" s="7" t="s">
        <v>1099</v>
      </c>
      <c r="N76" s="7" t="s">
        <v>1010</v>
      </c>
      <c r="O76" s="7" t="s">
        <v>1099</v>
      </c>
      <c r="P76" s="7" t="s">
        <v>1099</v>
      </c>
      <c r="Q76" s="7" t="s">
        <v>1099</v>
      </c>
      <c r="R76" s="7" t="s">
        <v>340</v>
      </c>
      <c r="S76" s="7" t="s">
        <v>42</v>
      </c>
      <c r="T76" s="7" t="s">
        <v>46</v>
      </c>
      <c r="U76" s="29" t="s">
        <v>1098</v>
      </c>
    </row>
    <row r="77" spans="1:21" ht="24" x14ac:dyDescent="0.3">
      <c r="A77" s="7" t="s">
        <v>232</v>
      </c>
      <c r="B77" s="6" t="s">
        <v>140</v>
      </c>
      <c r="C77" s="6" t="s">
        <v>216</v>
      </c>
      <c r="D77" s="6" t="s">
        <v>217</v>
      </c>
      <c r="E77" s="6" t="s">
        <v>218</v>
      </c>
      <c r="F77" s="6">
        <v>3408.01</v>
      </c>
      <c r="G77" s="27">
        <v>44602.168611111098</v>
      </c>
      <c r="H77" s="8"/>
      <c r="I77" s="6" t="s">
        <v>219</v>
      </c>
      <c r="J77" s="7" t="s">
        <v>16</v>
      </c>
      <c r="K77" s="7" t="s">
        <v>34</v>
      </c>
      <c r="L77" s="7" t="s">
        <v>996</v>
      </c>
      <c r="M77" s="7" t="s">
        <v>1099</v>
      </c>
      <c r="N77" s="7" t="s">
        <v>1010</v>
      </c>
      <c r="O77" s="7" t="s">
        <v>1099</v>
      </c>
      <c r="P77" s="7" t="s">
        <v>1099</v>
      </c>
      <c r="Q77" s="7" t="s">
        <v>1099</v>
      </c>
      <c r="R77" s="7" t="s">
        <v>340</v>
      </c>
      <c r="S77" s="7" t="s">
        <v>42</v>
      </c>
      <c r="T77" s="7" t="s">
        <v>46</v>
      </c>
      <c r="U77" s="29" t="s">
        <v>1097</v>
      </c>
    </row>
    <row r="78" spans="1:21" ht="57" x14ac:dyDescent="0.3">
      <c r="A78" s="48" t="s">
        <v>233</v>
      </c>
      <c r="B78" s="49" t="s">
        <v>140</v>
      </c>
      <c r="C78" s="49" t="s">
        <v>249</v>
      </c>
      <c r="D78" s="49" t="s">
        <v>217</v>
      </c>
      <c r="E78" s="49" t="s">
        <v>228</v>
      </c>
      <c r="F78" s="49">
        <v>162.19</v>
      </c>
      <c r="G78" s="50" t="s">
        <v>507</v>
      </c>
      <c r="H78" s="51" t="s">
        <v>520</v>
      </c>
      <c r="I78" s="49" t="s">
        <v>521</v>
      </c>
      <c r="J78" s="48" t="s">
        <v>40</v>
      </c>
      <c r="K78" s="48" t="s">
        <v>11</v>
      </c>
      <c r="L78" s="48" t="s">
        <v>996</v>
      </c>
      <c r="M78" s="48" t="s">
        <v>1103</v>
      </c>
      <c r="N78" s="48" t="s">
        <v>1010</v>
      </c>
      <c r="O78" s="48" t="s">
        <v>1104</v>
      </c>
      <c r="P78" s="48"/>
      <c r="Q78" s="48"/>
      <c r="R78" s="48" t="s">
        <v>332</v>
      </c>
      <c r="S78" s="48" t="s">
        <v>40</v>
      </c>
      <c r="T78" s="48" t="s">
        <v>46</v>
      </c>
      <c r="U78" s="48" t="s">
        <v>1102</v>
      </c>
    </row>
    <row r="79" spans="1:21" ht="102.6" x14ac:dyDescent="0.3">
      <c r="A79" s="48" t="s">
        <v>235</v>
      </c>
      <c r="B79" s="49" t="s">
        <v>140</v>
      </c>
      <c r="C79" s="49" t="s">
        <v>252</v>
      </c>
      <c r="D79" s="49" t="s">
        <v>227</v>
      </c>
      <c r="E79" s="49" t="s">
        <v>228</v>
      </c>
      <c r="F79" s="49">
        <v>80</v>
      </c>
      <c r="G79" s="50" t="s">
        <v>507</v>
      </c>
      <c r="H79" s="51" t="s">
        <v>525</v>
      </c>
      <c r="I79" s="49" t="s">
        <v>526</v>
      </c>
      <c r="J79" s="48" t="s">
        <v>9</v>
      </c>
      <c r="K79" s="48" t="s">
        <v>26</v>
      </c>
      <c r="L79" s="48" t="s">
        <v>1067</v>
      </c>
      <c r="M79" s="48" t="s">
        <v>1066</v>
      </c>
      <c r="N79" s="48" t="s">
        <v>1067</v>
      </c>
      <c r="O79" s="48"/>
      <c r="P79" s="48"/>
      <c r="Q79" s="48"/>
      <c r="R79" s="48" t="s">
        <v>332</v>
      </c>
      <c r="S79" s="48" t="s">
        <v>44</v>
      </c>
      <c r="T79" s="48" t="s">
        <v>38</v>
      </c>
      <c r="U79" s="48" t="s">
        <v>1106</v>
      </c>
    </row>
    <row r="80" spans="1:21" ht="125.4" x14ac:dyDescent="0.3">
      <c r="A80" s="48" t="s">
        <v>236</v>
      </c>
      <c r="B80" s="49" t="s">
        <v>140</v>
      </c>
      <c r="C80" s="49" t="s">
        <v>480</v>
      </c>
      <c r="D80" s="49" t="s">
        <v>227</v>
      </c>
      <c r="E80" s="49" t="s">
        <v>228</v>
      </c>
      <c r="F80" s="49">
        <v>144</v>
      </c>
      <c r="G80" s="50" t="s">
        <v>507</v>
      </c>
      <c r="H80" s="51" t="s">
        <v>530</v>
      </c>
      <c r="I80" s="49" t="s">
        <v>531</v>
      </c>
      <c r="J80" s="48" t="s">
        <v>9</v>
      </c>
      <c r="K80" s="48" t="s">
        <v>18</v>
      </c>
      <c r="L80" s="48" t="s">
        <v>1069</v>
      </c>
      <c r="M80" s="48" t="s">
        <v>1108</v>
      </c>
      <c r="N80" s="48"/>
      <c r="O80" s="48" t="s">
        <v>1068</v>
      </c>
      <c r="P80" s="48"/>
      <c r="Q80" s="48"/>
      <c r="R80" s="48" t="s">
        <v>332</v>
      </c>
      <c r="S80" s="48" t="s">
        <v>40</v>
      </c>
      <c r="T80" s="48" t="s">
        <v>46</v>
      </c>
      <c r="U80" s="48" t="s">
        <v>1107</v>
      </c>
    </row>
    <row r="81" spans="1:21" ht="125.4" x14ac:dyDescent="0.3">
      <c r="A81" s="48" t="s">
        <v>238</v>
      </c>
      <c r="B81" s="49" t="s">
        <v>140</v>
      </c>
      <c r="C81" s="49" t="s">
        <v>255</v>
      </c>
      <c r="D81" s="49" t="s">
        <v>227</v>
      </c>
      <c r="E81" s="49" t="s">
        <v>228</v>
      </c>
      <c r="F81" s="49">
        <v>272</v>
      </c>
      <c r="G81" s="50" t="s">
        <v>507</v>
      </c>
      <c r="H81" s="51" t="s">
        <v>532</v>
      </c>
      <c r="I81" s="49" t="s">
        <v>533</v>
      </c>
      <c r="J81" s="48" t="s">
        <v>9</v>
      </c>
      <c r="K81" s="48" t="s">
        <v>18</v>
      </c>
      <c r="L81" s="48" t="s">
        <v>1069</v>
      </c>
      <c r="M81" s="48" t="s">
        <v>1111</v>
      </c>
      <c r="N81" s="48"/>
      <c r="O81" s="48" t="s">
        <v>1110</v>
      </c>
      <c r="P81" s="48" t="s">
        <v>1109</v>
      </c>
      <c r="Q81" s="48" t="s">
        <v>1109</v>
      </c>
      <c r="R81" s="48" t="s">
        <v>332</v>
      </c>
      <c r="S81" s="48" t="s">
        <v>40</v>
      </c>
      <c r="T81" s="48" t="s">
        <v>46</v>
      </c>
      <c r="U81" s="48"/>
    </row>
    <row r="82" spans="1:21" ht="114" x14ac:dyDescent="0.3">
      <c r="A82" s="48" t="s">
        <v>239</v>
      </c>
      <c r="B82" s="49" t="s">
        <v>140</v>
      </c>
      <c r="C82" s="49" t="s">
        <v>258</v>
      </c>
      <c r="D82" s="49" t="s">
        <v>227</v>
      </c>
      <c r="E82" s="49" t="s">
        <v>228</v>
      </c>
      <c r="F82" s="49">
        <v>400</v>
      </c>
      <c r="G82" s="50" t="s">
        <v>507</v>
      </c>
      <c r="H82" s="51" t="s">
        <v>534</v>
      </c>
      <c r="I82" s="49" t="s">
        <v>535</v>
      </c>
      <c r="J82" s="48" t="s">
        <v>9</v>
      </c>
      <c r="K82" s="48" t="s">
        <v>26</v>
      </c>
      <c r="L82" s="48" t="s">
        <v>996</v>
      </c>
      <c r="M82" s="48" t="s">
        <v>1113</v>
      </c>
      <c r="N82" s="48"/>
      <c r="O82" s="48"/>
      <c r="P82" s="48" t="s">
        <v>1112</v>
      </c>
      <c r="Q82" s="48"/>
      <c r="R82" s="48" t="s">
        <v>332</v>
      </c>
      <c r="S82" s="48" t="s">
        <v>40</v>
      </c>
      <c r="T82" s="48" t="s">
        <v>46</v>
      </c>
      <c r="U82" s="48" t="s">
        <v>975</v>
      </c>
    </row>
    <row r="83" spans="1:21" x14ac:dyDescent="0.3">
      <c r="A83" s="7" t="s">
        <v>241</v>
      </c>
      <c r="B83" s="6" t="s">
        <v>140</v>
      </c>
      <c r="C83" s="6" t="s">
        <v>261</v>
      </c>
      <c r="D83" s="6" t="s">
        <v>227</v>
      </c>
      <c r="E83" s="6" t="s">
        <v>228</v>
      </c>
      <c r="F83" s="6">
        <v>4560</v>
      </c>
      <c r="G83" s="27" t="s">
        <v>507</v>
      </c>
      <c r="H83" s="8" t="s">
        <v>536</v>
      </c>
      <c r="I83" s="6" t="s">
        <v>537</v>
      </c>
      <c r="J83" s="7" t="s">
        <v>16</v>
      </c>
      <c r="K83" s="7" t="s">
        <v>26</v>
      </c>
      <c r="L83" s="7"/>
      <c r="M83" s="7" t="s">
        <v>973</v>
      </c>
      <c r="N83" s="7"/>
      <c r="O83" s="7"/>
      <c r="P83" s="7"/>
      <c r="Q83" s="7"/>
      <c r="R83" s="7" t="s">
        <v>332</v>
      </c>
      <c r="S83" s="7"/>
      <c r="T83" s="7" t="s">
        <v>46</v>
      </c>
      <c r="U83" s="7" t="s">
        <v>975</v>
      </c>
    </row>
    <row r="84" spans="1:21" ht="125.4" x14ac:dyDescent="0.3">
      <c r="A84" s="48" t="s">
        <v>242</v>
      </c>
      <c r="B84" s="49" t="s">
        <v>140</v>
      </c>
      <c r="C84" s="49" t="s">
        <v>264</v>
      </c>
      <c r="D84" s="49" t="s">
        <v>217</v>
      </c>
      <c r="E84" s="49" t="s">
        <v>228</v>
      </c>
      <c r="F84" s="49">
        <v>147</v>
      </c>
      <c r="G84" s="50" t="s">
        <v>507</v>
      </c>
      <c r="H84" s="51" t="s">
        <v>538</v>
      </c>
      <c r="I84" s="49" t="s">
        <v>539</v>
      </c>
      <c r="J84" s="48" t="s">
        <v>9</v>
      </c>
      <c r="K84" s="48" t="s">
        <v>18</v>
      </c>
      <c r="L84" s="48" t="s">
        <v>1069</v>
      </c>
      <c r="M84" s="48" t="s">
        <v>1114</v>
      </c>
      <c r="N84" s="48"/>
      <c r="O84" s="48"/>
      <c r="P84" s="48"/>
      <c r="Q84" s="48" t="s">
        <v>1115</v>
      </c>
      <c r="R84" s="48" t="s">
        <v>332</v>
      </c>
      <c r="S84" s="48" t="s">
        <v>40</v>
      </c>
      <c r="T84" s="48" t="s">
        <v>46</v>
      </c>
      <c r="U84" s="48" t="s">
        <v>333</v>
      </c>
    </row>
    <row r="85" spans="1:21" x14ac:dyDescent="0.3">
      <c r="A85" s="7" t="s">
        <v>244</v>
      </c>
      <c r="B85" s="6" t="s">
        <v>140</v>
      </c>
      <c r="C85" s="6" t="s">
        <v>267</v>
      </c>
      <c r="D85" s="6" t="s">
        <v>227</v>
      </c>
      <c r="E85" s="6" t="s">
        <v>228</v>
      </c>
      <c r="F85" s="6">
        <v>16</v>
      </c>
      <c r="G85" s="27" t="s">
        <v>507</v>
      </c>
      <c r="H85" s="8" t="s">
        <v>540</v>
      </c>
      <c r="I85" s="6" t="s">
        <v>541</v>
      </c>
      <c r="J85" s="7" t="s">
        <v>40</v>
      </c>
      <c r="K85" s="7"/>
      <c r="L85" s="7" t="s">
        <v>1117</v>
      </c>
      <c r="M85" s="7" t="s">
        <v>1116</v>
      </c>
      <c r="N85" s="7"/>
      <c r="O85" s="7"/>
      <c r="P85" s="7"/>
      <c r="Q85" s="7"/>
      <c r="R85" s="7" t="s">
        <v>332</v>
      </c>
      <c r="S85" s="7" t="s">
        <v>44</v>
      </c>
      <c r="T85" s="7" t="s">
        <v>46</v>
      </c>
      <c r="U85" s="7" t="s">
        <v>333</v>
      </c>
    </row>
    <row r="86" spans="1:21" x14ac:dyDescent="0.3">
      <c r="A86" s="7" t="s">
        <v>245</v>
      </c>
      <c r="B86" s="6" t="s">
        <v>140</v>
      </c>
      <c r="C86" s="6" t="s">
        <v>270</v>
      </c>
      <c r="D86" s="6" t="s">
        <v>227</v>
      </c>
      <c r="E86" s="6" t="s">
        <v>228</v>
      </c>
      <c r="F86" s="6">
        <v>16</v>
      </c>
      <c r="G86" s="27" t="s">
        <v>507</v>
      </c>
      <c r="H86" s="8" t="s">
        <v>542</v>
      </c>
      <c r="I86" s="6" t="s">
        <v>543</v>
      </c>
      <c r="J86" s="7" t="s">
        <v>16</v>
      </c>
      <c r="K86" s="7"/>
      <c r="L86" s="7" t="s">
        <v>1117</v>
      </c>
      <c r="M86" s="7" t="s">
        <v>1116</v>
      </c>
      <c r="N86" s="7"/>
      <c r="O86" s="7"/>
      <c r="P86" s="7"/>
      <c r="Q86" s="7"/>
      <c r="R86" s="7" t="s">
        <v>332</v>
      </c>
      <c r="S86" s="7" t="s">
        <v>44</v>
      </c>
      <c r="T86" s="7" t="s">
        <v>46</v>
      </c>
      <c r="U86" s="7" t="s">
        <v>333</v>
      </c>
    </row>
    <row r="87" spans="1:21" x14ac:dyDescent="0.3">
      <c r="A87" s="7" t="s">
        <v>247</v>
      </c>
      <c r="B87" s="6" t="s">
        <v>140</v>
      </c>
      <c r="C87" s="6" t="s">
        <v>222</v>
      </c>
      <c r="D87" s="6" t="s">
        <v>217</v>
      </c>
      <c r="E87" s="6" t="s">
        <v>218</v>
      </c>
      <c r="F87" s="6">
        <v>4922.6899999999996</v>
      </c>
      <c r="G87" s="27">
        <v>44193.002141203702</v>
      </c>
      <c r="H87" s="8"/>
      <c r="I87" s="6" t="s">
        <v>223</v>
      </c>
      <c r="J87" s="7" t="s">
        <v>40</v>
      </c>
      <c r="K87" s="7"/>
      <c r="L87" s="7"/>
      <c r="M87" s="7"/>
      <c r="N87" s="7"/>
      <c r="O87" s="7"/>
      <c r="P87" s="7"/>
      <c r="Q87" s="7"/>
      <c r="R87" s="7" t="s">
        <v>332</v>
      </c>
      <c r="S87" s="7"/>
      <c r="T87" s="7" t="s">
        <v>46</v>
      </c>
      <c r="U87" s="7" t="s">
        <v>333</v>
      </c>
    </row>
    <row r="88" spans="1:21" ht="46.8" x14ac:dyDescent="0.3">
      <c r="A88" s="7" t="s">
        <v>248</v>
      </c>
      <c r="B88" s="6" t="s">
        <v>140</v>
      </c>
      <c r="C88" s="6" t="s">
        <v>271</v>
      </c>
      <c r="D88" s="6" t="s">
        <v>217</v>
      </c>
      <c r="E88" s="6" t="s">
        <v>228</v>
      </c>
      <c r="F88" s="6">
        <v>56549.25</v>
      </c>
      <c r="G88" s="27" t="s">
        <v>507</v>
      </c>
      <c r="H88" s="8" t="s">
        <v>544</v>
      </c>
      <c r="I88" s="6" t="s">
        <v>545</v>
      </c>
      <c r="J88" s="7" t="s">
        <v>9</v>
      </c>
      <c r="K88" s="7" t="s">
        <v>26</v>
      </c>
      <c r="L88" s="48" t="s">
        <v>1069</v>
      </c>
      <c r="M88" s="29" t="s">
        <v>1119</v>
      </c>
      <c r="N88" s="7"/>
      <c r="O88" s="7"/>
      <c r="P88" s="7"/>
      <c r="Q88" s="7" t="s">
        <v>1118</v>
      </c>
      <c r="R88" s="7" t="s">
        <v>332</v>
      </c>
      <c r="S88" s="7" t="s">
        <v>40</v>
      </c>
      <c r="T88" s="7" t="s">
        <v>46</v>
      </c>
      <c r="U88" s="7" t="s">
        <v>333</v>
      </c>
    </row>
    <row r="89" spans="1:21" x14ac:dyDescent="0.3">
      <c r="A89" s="7" t="s">
        <v>250</v>
      </c>
      <c r="B89" s="6" t="s">
        <v>140</v>
      </c>
      <c r="C89" s="6" t="s">
        <v>273</v>
      </c>
      <c r="D89" s="6" t="s">
        <v>217</v>
      </c>
      <c r="E89" s="6" t="s">
        <v>228</v>
      </c>
      <c r="F89" s="6">
        <v>30216.38</v>
      </c>
      <c r="G89" s="27" t="s">
        <v>507</v>
      </c>
      <c r="H89" s="8" t="s">
        <v>546</v>
      </c>
      <c r="I89" s="6" t="s">
        <v>547</v>
      </c>
      <c r="J89" s="7" t="s">
        <v>32</v>
      </c>
      <c r="K89" s="7"/>
      <c r="L89" s="7"/>
      <c r="M89" s="7"/>
      <c r="N89" s="7"/>
      <c r="O89" s="7"/>
      <c r="P89" s="7"/>
      <c r="Q89" s="7"/>
      <c r="R89" s="7" t="s">
        <v>332</v>
      </c>
      <c r="S89" s="7"/>
      <c r="T89" s="7" t="s">
        <v>46</v>
      </c>
      <c r="U89" s="7" t="s">
        <v>333</v>
      </c>
    </row>
    <row r="90" spans="1:21" x14ac:dyDescent="0.3">
      <c r="A90" s="7" t="s">
        <v>251</v>
      </c>
      <c r="B90" s="6" t="s">
        <v>140</v>
      </c>
      <c r="C90" s="6" t="s">
        <v>276</v>
      </c>
      <c r="D90" s="6" t="s">
        <v>217</v>
      </c>
      <c r="E90" s="6" t="s">
        <v>228</v>
      </c>
      <c r="F90" s="6">
        <v>406.13</v>
      </c>
      <c r="G90" s="27" t="s">
        <v>507</v>
      </c>
      <c r="H90" s="8" t="s">
        <v>548</v>
      </c>
      <c r="I90" s="6" t="s">
        <v>549</v>
      </c>
      <c r="J90" s="7" t="s">
        <v>16</v>
      </c>
      <c r="K90" s="7"/>
      <c r="L90" s="7"/>
      <c r="M90" s="7"/>
      <c r="N90" s="7"/>
      <c r="O90" s="7"/>
      <c r="P90" s="7"/>
      <c r="Q90" s="7"/>
      <c r="R90" s="7" t="s">
        <v>332</v>
      </c>
      <c r="S90" s="7"/>
      <c r="T90" s="7" t="s">
        <v>46</v>
      </c>
      <c r="U90" s="7" t="s">
        <v>333</v>
      </c>
    </row>
    <row r="91" spans="1:21" x14ac:dyDescent="0.3">
      <c r="A91" s="7" t="s">
        <v>253</v>
      </c>
      <c r="B91" s="6" t="s">
        <v>140</v>
      </c>
      <c r="C91" s="6" t="s">
        <v>279</v>
      </c>
      <c r="D91" s="6" t="s">
        <v>227</v>
      </c>
      <c r="E91" s="6" t="s">
        <v>228</v>
      </c>
      <c r="F91" s="6">
        <v>6672</v>
      </c>
      <c r="G91" s="27" t="s">
        <v>507</v>
      </c>
      <c r="H91" s="8" t="s">
        <v>550</v>
      </c>
      <c r="I91" s="6" t="s">
        <v>551</v>
      </c>
      <c r="J91" s="7" t="s">
        <v>16</v>
      </c>
      <c r="K91" s="7"/>
      <c r="L91" s="7"/>
      <c r="M91" s="7"/>
      <c r="N91" s="7"/>
      <c r="O91" s="7"/>
      <c r="P91" s="7"/>
      <c r="Q91" s="7"/>
      <c r="R91" s="7" t="s">
        <v>332</v>
      </c>
      <c r="S91" s="7"/>
      <c r="T91" s="7" t="s">
        <v>46</v>
      </c>
      <c r="U91" s="7" t="s">
        <v>333</v>
      </c>
    </row>
    <row r="92" spans="1:21" ht="81" x14ac:dyDescent="0.3">
      <c r="A92" s="7" t="s">
        <v>254</v>
      </c>
      <c r="B92" s="6" t="s">
        <v>140</v>
      </c>
      <c r="C92" s="6" t="s">
        <v>282</v>
      </c>
      <c r="D92" s="6" t="s">
        <v>227</v>
      </c>
      <c r="E92" s="6" t="s">
        <v>228</v>
      </c>
      <c r="F92" s="6">
        <v>17488</v>
      </c>
      <c r="G92" s="27" t="s">
        <v>507</v>
      </c>
      <c r="H92" s="8" t="s">
        <v>552</v>
      </c>
      <c r="I92" s="6" t="s">
        <v>553</v>
      </c>
      <c r="J92" s="7" t="s">
        <v>9</v>
      </c>
      <c r="K92" s="7" t="s">
        <v>11</v>
      </c>
      <c r="L92" s="7"/>
      <c r="M92" s="29" t="s">
        <v>1121</v>
      </c>
      <c r="N92" s="7"/>
      <c r="O92" s="7"/>
      <c r="P92" s="7"/>
      <c r="Q92" s="7" t="s">
        <v>1120</v>
      </c>
      <c r="R92" s="7" t="s">
        <v>332</v>
      </c>
      <c r="S92" s="7"/>
      <c r="T92" s="7" t="s">
        <v>46</v>
      </c>
      <c r="U92" s="7" t="s">
        <v>333</v>
      </c>
    </row>
    <row r="93" spans="1:21" x14ac:dyDescent="0.3">
      <c r="A93" s="7" t="s">
        <v>256</v>
      </c>
      <c r="B93" s="6" t="s">
        <v>140</v>
      </c>
      <c r="C93" s="6" t="s">
        <v>285</v>
      </c>
      <c r="D93" s="6" t="s">
        <v>227</v>
      </c>
      <c r="E93" s="6" t="s">
        <v>228</v>
      </c>
      <c r="F93" s="6">
        <v>16</v>
      </c>
      <c r="G93" s="27" t="s">
        <v>507</v>
      </c>
      <c r="H93" s="8" t="s">
        <v>554</v>
      </c>
      <c r="I93" s="6" t="s">
        <v>555</v>
      </c>
      <c r="J93" s="7" t="s">
        <v>40</v>
      </c>
      <c r="K93" s="7"/>
      <c r="L93" s="7"/>
      <c r="M93" s="7"/>
      <c r="N93" s="7"/>
      <c r="O93" s="7"/>
      <c r="P93" s="7"/>
      <c r="Q93" s="7"/>
      <c r="R93" s="7" t="s">
        <v>332</v>
      </c>
      <c r="S93" s="7"/>
      <c r="T93" s="7" t="s">
        <v>46</v>
      </c>
      <c r="U93" s="7" t="s">
        <v>333</v>
      </c>
    </row>
    <row r="94" spans="1:21" x14ac:dyDescent="0.3">
      <c r="A94" s="7" t="s">
        <v>257</v>
      </c>
      <c r="B94" s="6" t="s">
        <v>140</v>
      </c>
      <c r="C94" s="6" t="s">
        <v>288</v>
      </c>
      <c r="D94" s="6" t="s">
        <v>227</v>
      </c>
      <c r="E94" s="6" t="s">
        <v>228</v>
      </c>
      <c r="F94" s="6">
        <v>16</v>
      </c>
      <c r="G94" s="27" t="s">
        <v>507</v>
      </c>
      <c r="H94" s="8" t="s">
        <v>567</v>
      </c>
      <c r="I94" s="6" t="s">
        <v>568</v>
      </c>
      <c r="J94" s="7" t="s">
        <v>40</v>
      </c>
      <c r="K94" s="7"/>
      <c r="L94" s="7"/>
      <c r="M94" s="7"/>
      <c r="N94" s="7"/>
      <c r="O94" s="7"/>
      <c r="P94" s="7"/>
      <c r="Q94" s="7"/>
      <c r="R94" s="7" t="s">
        <v>332</v>
      </c>
      <c r="S94" s="7"/>
      <c r="T94" s="7" t="s">
        <v>46</v>
      </c>
      <c r="U94" s="7" t="s">
        <v>333</v>
      </c>
    </row>
    <row r="95" spans="1:21" x14ac:dyDescent="0.3">
      <c r="A95" s="7" t="s">
        <v>259</v>
      </c>
      <c r="B95" s="6" t="s">
        <v>140</v>
      </c>
      <c r="C95" s="6" t="s">
        <v>291</v>
      </c>
      <c r="D95" s="6" t="s">
        <v>227</v>
      </c>
      <c r="E95" s="6" t="s">
        <v>228</v>
      </c>
      <c r="F95" s="6">
        <v>16</v>
      </c>
      <c r="G95" s="27" t="s">
        <v>507</v>
      </c>
      <c r="H95" s="8" t="s">
        <v>569</v>
      </c>
      <c r="I95" s="6" t="s">
        <v>570</v>
      </c>
      <c r="J95" s="7" t="s">
        <v>16</v>
      </c>
      <c r="K95" s="7"/>
      <c r="L95" s="7"/>
      <c r="M95" s="7"/>
      <c r="N95" s="7"/>
      <c r="O95" s="7"/>
      <c r="P95" s="7"/>
      <c r="Q95" s="7"/>
      <c r="R95" s="7" t="s">
        <v>332</v>
      </c>
      <c r="S95" s="7"/>
      <c r="T95" s="7" t="s">
        <v>46</v>
      </c>
      <c r="U95" s="7" t="s">
        <v>333</v>
      </c>
    </row>
    <row r="96" spans="1:21" x14ac:dyDescent="0.3">
      <c r="A96" s="7" t="s">
        <v>260</v>
      </c>
      <c r="B96" s="6" t="s">
        <v>140</v>
      </c>
      <c r="C96" s="6" t="s">
        <v>294</v>
      </c>
      <c r="D96" s="6" t="s">
        <v>217</v>
      </c>
      <c r="E96" s="6" t="s">
        <v>228</v>
      </c>
      <c r="F96" s="6">
        <v>13.44</v>
      </c>
      <c r="G96" s="27" t="s">
        <v>507</v>
      </c>
      <c r="H96" s="8" t="s">
        <v>571</v>
      </c>
      <c r="I96" s="6" t="s">
        <v>572</v>
      </c>
      <c r="J96" s="7" t="s">
        <v>40</v>
      </c>
      <c r="K96" s="7"/>
      <c r="L96" s="7"/>
      <c r="M96" s="7"/>
      <c r="N96" s="7"/>
      <c r="O96" s="7"/>
      <c r="P96" s="7"/>
      <c r="Q96" s="7"/>
      <c r="R96" s="7" t="s">
        <v>332</v>
      </c>
      <c r="S96" s="7"/>
      <c r="T96" s="7" t="s">
        <v>46</v>
      </c>
      <c r="U96" s="7" t="s">
        <v>333</v>
      </c>
    </row>
    <row r="97" spans="1:21" x14ac:dyDescent="0.3">
      <c r="A97" s="7" t="s">
        <v>262</v>
      </c>
      <c r="B97" s="6" t="s">
        <v>140</v>
      </c>
      <c r="C97" s="6" t="s">
        <v>297</v>
      </c>
      <c r="D97" s="6" t="s">
        <v>217</v>
      </c>
      <c r="E97" s="6" t="s">
        <v>228</v>
      </c>
      <c r="F97" s="6">
        <v>26.81</v>
      </c>
      <c r="G97" s="27" t="s">
        <v>507</v>
      </c>
      <c r="H97" s="8" t="s">
        <v>573</v>
      </c>
      <c r="I97" s="6" t="s">
        <v>574</v>
      </c>
      <c r="J97" s="7" t="s">
        <v>40</v>
      </c>
      <c r="K97" s="7"/>
      <c r="L97" s="7"/>
      <c r="M97" s="7"/>
      <c r="N97" s="7"/>
      <c r="O97" s="7"/>
      <c r="P97" s="7"/>
      <c r="Q97" s="7"/>
      <c r="R97" s="7" t="s">
        <v>332</v>
      </c>
      <c r="S97" s="7" t="s">
        <v>42</v>
      </c>
      <c r="T97" s="7" t="s">
        <v>46</v>
      </c>
      <c r="U97" s="7" t="s">
        <v>333</v>
      </c>
    </row>
    <row r="98" spans="1:21" x14ac:dyDescent="0.3">
      <c r="A98" s="7" t="s">
        <v>263</v>
      </c>
      <c r="B98" s="6" t="s">
        <v>140</v>
      </c>
      <c r="C98" s="6" t="s">
        <v>300</v>
      </c>
      <c r="D98" s="6" t="s">
        <v>227</v>
      </c>
      <c r="E98" s="6" t="s">
        <v>228</v>
      </c>
      <c r="F98" s="6">
        <v>16</v>
      </c>
      <c r="G98" s="27" t="s">
        <v>507</v>
      </c>
      <c r="H98" s="8" t="s">
        <v>575</v>
      </c>
      <c r="I98" s="6" t="s">
        <v>576</v>
      </c>
      <c r="J98" s="7" t="s">
        <v>40</v>
      </c>
      <c r="K98" s="7"/>
      <c r="L98" s="7"/>
      <c r="M98" s="7"/>
      <c r="N98" s="7"/>
      <c r="O98" s="7"/>
      <c r="P98" s="7"/>
      <c r="Q98" s="7"/>
      <c r="R98" s="7" t="s">
        <v>332</v>
      </c>
      <c r="S98" s="7"/>
      <c r="T98" s="7" t="s">
        <v>46</v>
      </c>
      <c r="U98" s="7" t="s">
        <v>333</v>
      </c>
    </row>
    <row r="99" spans="1:21" x14ac:dyDescent="0.3">
      <c r="A99" s="7" t="s">
        <v>265</v>
      </c>
      <c r="B99" s="6" t="s">
        <v>140</v>
      </c>
      <c r="C99" s="6" t="s">
        <v>303</v>
      </c>
      <c r="D99" s="6" t="s">
        <v>227</v>
      </c>
      <c r="E99" s="6" t="s">
        <v>228</v>
      </c>
      <c r="F99" s="6">
        <v>2256</v>
      </c>
      <c r="G99" s="27" t="s">
        <v>507</v>
      </c>
      <c r="H99" s="8" t="s">
        <v>580</v>
      </c>
      <c r="I99" s="6" t="s">
        <v>581</v>
      </c>
      <c r="J99" s="7" t="s">
        <v>40</v>
      </c>
      <c r="K99" s="7"/>
      <c r="L99" s="7"/>
      <c r="M99" s="7"/>
      <c r="N99" s="7"/>
      <c r="O99" s="7"/>
      <c r="P99" s="7"/>
      <c r="Q99" s="7"/>
      <c r="R99" s="7" t="s">
        <v>332</v>
      </c>
      <c r="S99" s="7"/>
      <c r="T99" s="7" t="s">
        <v>46</v>
      </c>
      <c r="U99" s="7" t="s">
        <v>333</v>
      </c>
    </row>
    <row r="100" spans="1:21" x14ac:dyDescent="0.3">
      <c r="A100" s="7" t="s">
        <v>266</v>
      </c>
      <c r="B100" s="6" t="s">
        <v>140</v>
      </c>
      <c r="C100" s="6" t="s">
        <v>306</v>
      </c>
      <c r="D100" s="6" t="s">
        <v>227</v>
      </c>
      <c r="E100" s="6" t="s">
        <v>228</v>
      </c>
      <c r="F100" s="6">
        <v>14288</v>
      </c>
      <c r="G100" s="27" t="s">
        <v>507</v>
      </c>
      <c r="H100" s="8" t="s">
        <v>582</v>
      </c>
      <c r="I100" s="6" t="s">
        <v>583</v>
      </c>
      <c r="J100" s="7" t="s">
        <v>16</v>
      </c>
      <c r="K100" s="7"/>
      <c r="L100" s="7"/>
      <c r="M100" s="7"/>
      <c r="N100" s="7"/>
      <c r="O100" s="7"/>
      <c r="P100" s="7"/>
      <c r="Q100" s="7"/>
      <c r="R100" s="7" t="s">
        <v>332</v>
      </c>
      <c r="S100" s="7"/>
      <c r="T100" s="7" t="s">
        <v>46</v>
      </c>
      <c r="U100" s="7" t="s">
        <v>333</v>
      </c>
    </row>
    <row r="101" spans="1:21" ht="193.8" x14ac:dyDescent="0.3">
      <c r="A101" s="48" t="s">
        <v>268</v>
      </c>
      <c r="B101" s="49" t="s">
        <v>140</v>
      </c>
      <c r="C101" s="49" t="s">
        <v>309</v>
      </c>
      <c r="D101" s="49" t="s">
        <v>227</v>
      </c>
      <c r="E101" s="49" t="s">
        <v>228</v>
      </c>
      <c r="F101" s="49">
        <v>66448</v>
      </c>
      <c r="G101" s="50" t="s">
        <v>507</v>
      </c>
      <c r="H101" s="51" t="s">
        <v>584</v>
      </c>
      <c r="I101" s="49" t="s">
        <v>585</v>
      </c>
      <c r="J101" s="48" t="s">
        <v>9</v>
      </c>
      <c r="K101" s="48" t="s">
        <v>18</v>
      </c>
      <c r="L101" s="48" t="s">
        <v>996</v>
      </c>
      <c r="M101" s="48" t="s">
        <v>1095</v>
      </c>
      <c r="N101" s="48" t="s">
        <v>1064</v>
      </c>
      <c r="O101" s="48" t="s">
        <v>1091</v>
      </c>
      <c r="P101" s="48"/>
      <c r="Q101" s="48" t="s">
        <v>1096</v>
      </c>
      <c r="R101" s="48" t="s">
        <v>332</v>
      </c>
      <c r="S101" s="48" t="s">
        <v>44</v>
      </c>
      <c r="T101" s="48" t="s">
        <v>38</v>
      </c>
      <c r="U101" s="48" t="s">
        <v>1094</v>
      </c>
    </row>
    <row r="102" spans="1:21" x14ac:dyDescent="0.3">
      <c r="A102" s="7" t="s">
        <v>269</v>
      </c>
      <c r="B102" s="6" t="s">
        <v>140</v>
      </c>
      <c r="C102" s="6" t="s">
        <v>312</v>
      </c>
      <c r="D102" s="6" t="s">
        <v>227</v>
      </c>
      <c r="E102" s="6" t="s">
        <v>228</v>
      </c>
      <c r="F102" s="6">
        <v>8272</v>
      </c>
      <c r="G102" s="27" t="s">
        <v>507</v>
      </c>
      <c r="H102" s="8" t="s">
        <v>586</v>
      </c>
      <c r="I102" s="6" t="s">
        <v>587</v>
      </c>
      <c r="J102" s="7" t="s">
        <v>16</v>
      </c>
      <c r="K102" s="7"/>
      <c r="L102" s="7" t="s">
        <v>996</v>
      </c>
      <c r="M102" s="7"/>
      <c r="N102" s="7"/>
      <c r="O102" s="7"/>
      <c r="P102" s="7"/>
      <c r="Q102" s="7"/>
      <c r="R102" s="7" t="s">
        <v>332</v>
      </c>
      <c r="S102" s="7" t="s">
        <v>40</v>
      </c>
      <c r="T102" s="7" t="s">
        <v>46</v>
      </c>
      <c r="U102" s="7" t="s">
        <v>333</v>
      </c>
    </row>
    <row r="103" spans="1:21" x14ac:dyDescent="0.3">
      <c r="A103" s="7" t="s">
        <v>272</v>
      </c>
      <c r="B103" s="6" t="s">
        <v>140</v>
      </c>
      <c r="C103" s="6" t="s">
        <v>317</v>
      </c>
      <c r="D103" s="6" t="s">
        <v>227</v>
      </c>
      <c r="E103" s="6" t="s">
        <v>228</v>
      </c>
      <c r="F103" s="6">
        <v>16</v>
      </c>
      <c r="G103" s="27">
        <v>45643.176770833299</v>
      </c>
      <c r="H103" s="8"/>
      <c r="I103" s="6" t="s">
        <v>223</v>
      </c>
      <c r="J103" s="7" t="s">
        <v>40</v>
      </c>
      <c r="K103" s="7"/>
      <c r="L103" s="7"/>
      <c r="M103" s="7"/>
      <c r="N103" s="7"/>
      <c r="O103" s="7"/>
      <c r="P103" s="7"/>
      <c r="Q103" s="7"/>
      <c r="R103" s="7" t="s">
        <v>332</v>
      </c>
      <c r="S103" s="7"/>
      <c r="T103" s="7" t="s">
        <v>46</v>
      </c>
      <c r="U103" s="7" t="s">
        <v>333</v>
      </c>
    </row>
    <row r="104" spans="1:21" x14ac:dyDescent="0.3">
      <c r="A104" s="7" t="s">
        <v>274</v>
      </c>
      <c r="B104" s="6" t="s">
        <v>140</v>
      </c>
      <c r="C104" s="6" t="s">
        <v>320</v>
      </c>
      <c r="D104" s="6" t="s">
        <v>217</v>
      </c>
      <c r="E104" s="6" t="s">
        <v>228</v>
      </c>
      <c r="F104" s="6">
        <v>1737.31</v>
      </c>
      <c r="G104" s="27" t="s">
        <v>507</v>
      </c>
      <c r="H104" s="8" t="s">
        <v>588</v>
      </c>
      <c r="I104" s="6" t="s">
        <v>589</v>
      </c>
      <c r="J104" s="7" t="s">
        <v>9</v>
      </c>
      <c r="K104" s="7"/>
      <c r="L104" s="7" t="s">
        <v>1117</v>
      </c>
      <c r="M104" s="7" t="s">
        <v>1122</v>
      </c>
      <c r="N104" s="7"/>
      <c r="O104" s="7"/>
      <c r="P104" s="7"/>
      <c r="Q104" s="7"/>
      <c r="R104" s="7" t="s">
        <v>332</v>
      </c>
      <c r="S104" s="7" t="s">
        <v>44</v>
      </c>
      <c r="T104" s="7" t="s">
        <v>46</v>
      </c>
      <c r="U104" s="7" t="s">
        <v>333</v>
      </c>
    </row>
    <row r="105" spans="1:21" x14ac:dyDescent="0.3">
      <c r="A105" s="7" t="s">
        <v>275</v>
      </c>
      <c r="B105" s="6" t="s">
        <v>140</v>
      </c>
      <c r="C105" s="6" t="s">
        <v>323</v>
      </c>
      <c r="D105" s="6" t="s">
        <v>217</v>
      </c>
      <c r="E105" s="6" t="s">
        <v>228</v>
      </c>
      <c r="F105" s="6">
        <v>165.75</v>
      </c>
      <c r="G105" s="27" t="s">
        <v>507</v>
      </c>
      <c r="H105" s="8" t="s">
        <v>590</v>
      </c>
      <c r="I105" s="6" t="s">
        <v>591</v>
      </c>
      <c r="J105" s="7" t="s">
        <v>40</v>
      </c>
      <c r="K105" s="7"/>
      <c r="L105" s="7"/>
      <c r="M105" s="7"/>
      <c r="N105" s="7"/>
      <c r="O105" s="7"/>
      <c r="P105" s="7"/>
      <c r="Q105" s="7"/>
      <c r="R105" s="7" t="s">
        <v>332</v>
      </c>
      <c r="S105" s="7"/>
      <c r="T105" s="7" t="s">
        <v>46</v>
      </c>
      <c r="U105" s="7" t="s">
        <v>333</v>
      </c>
    </row>
    <row r="106" spans="1:21" x14ac:dyDescent="0.3">
      <c r="A106" s="7" t="s">
        <v>777</v>
      </c>
      <c r="B106" s="6" t="s">
        <v>147</v>
      </c>
      <c r="C106" s="6" t="s">
        <v>763</v>
      </c>
      <c r="D106" s="6" t="s">
        <v>475</v>
      </c>
      <c r="E106" s="6" t="s">
        <v>228</v>
      </c>
      <c r="F106" s="6">
        <v>1004.69</v>
      </c>
      <c r="G106" s="27" t="s">
        <v>767</v>
      </c>
      <c r="H106" s="8" t="s">
        <v>768</v>
      </c>
      <c r="I106" s="6" t="s">
        <v>769</v>
      </c>
      <c r="J106" s="7" t="s">
        <v>40</v>
      </c>
      <c r="K106" s="7"/>
      <c r="L106" s="7"/>
      <c r="M106" s="7"/>
      <c r="N106" s="7"/>
      <c r="O106" s="7"/>
      <c r="P106" s="7"/>
      <c r="Q106" s="7"/>
      <c r="R106" s="7" t="s">
        <v>332</v>
      </c>
      <c r="S106" s="7"/>
      <c r="T106" s="7" t="s">
        <v>595</v>
      </c>
      <c r="U106" s="7"/>
    </row>
    <row r="107" spans="1:21" x14ac:dyDescent="0.3">
      <c r="A107" s="7" t="s">
        <v>778</v>
      </c>
      <c r="B107" s="6" t="s">
        <v>147</v>
      </c>
      <c r="C107" s="6" t="s">
        <v>764</v>
      </c>
      <c r="D107" s="6" t="s">
        <v>475</v>
      </c>
      <c r="E107" s="6" t="s">
        <v>228</v>
      </c>
      <c r="F107" s="6">
        <v>77456.31</v>
      </c>
      <c r="G107" s="27" t="s">
        <v>767</v>
      </c>
      <c r="H107" s="8" t="s">
        <v>770</v>
      </c>
      <c r="I107" s="6" t="s">
        <v>771</v>
      </c>
      <c r="J107" s="7" t="s">
        <v>40</v>
      </c>
      <c r="K107" s="7"/>
      <c r="L107" s="7"/>
      <c r="M107" s="7"/>
      <c r="N107" s="7"/>
      <c r="O107" s="7"/>
      <c r="P107" s="7"/>
      <c r="Q107" s="7"/>
      <c r="R107" s="7" t="s">
        <v>332</v>
      </c>
      <c r="S107" s="7"/>
      <c r="T107" s="7" t="s">
        <v>595</v>
      </c>
      <c r="U107" s="7"/>
    </row>
    <row r="108" spans="1:21" x14ac:dyDescent="0.3">
      <c r="A108" s="7" t="s">
        <v>779</v>
      </c>
      <c r="B108" s="6" t="s">
        <v>147</v>
      </c>
      <c r="C108" s="6" t="s">
        <v>765</v>
      </c>
      <c r="D108" s="6" t="s">
        <v>475</v>
      </c>
      <c r="E108" s="6" t="s">
        <v>228</v>
      </c>
      <c r="F108" s="6">
        <v>2982</v>
      </c>
      <c r="G108" s="27" t="s">
        <v>767</v>
      </c>
      <c r="H108" s="8" t="s">
        <v>772</v>
      </c>
      <c r="I108" s="6" t="s">
        <v>773</v>
      </c>
      <c r="J108" s="7" t="s">
        <v>40</v>
      </c>
      <c r="K108" s="7"/>
      <c r="L108" s="7"/>
      <c r="M108" s="7"/>
      <c r="N108" s="7"/>
      <c r="O108" s="7"/>
      <c r="P108" s="7"/>
      <c r="Q108" s="7"/>
      <c r="R108" s="7" t="s">
        <v>332</v>
      </c>
      <c r="S108" s="7"/>
      <c r="T108" s="7" t="s">
        <v>595</v>
      </c>
      <c r="U108" s="7"/>
    </row>
    <row r="109" spans="1:21" x14ac:dyDescent="0.3">
      <c r="A109" s="7" t="s">
        <v>782</v>
      </c>
      <c r="B109" s="6" t="s">
        <v>147</v>
      </c>
      <c r="C109" s="6" t="s">
        <v>766</v>
      </c>
      <c r="D109" s="6" t="s">
        <v>475</v>
      </c>
      <c r="E109" s="6" t="s">
        <v>228</v>
      </c>
      <c r="F109" s="6">
        <v>176</v>
      </c>
      <c r="G109" s="27" t="s">
        <v>767</v>
      </c>
      <c r="H109" s="8" t="s">
        <v>774</v>
      </c>
      <c r="I109" s="6" t="s">
        <v>775</v>
      </c>
      <c r="J109" s="7" t="s">
        <v>40</v>
      </c>
      <c r="K109" s="7"/>
      <c r="L109" s="7"/>
      <c r="M109" s="7"/>
      <c r="N109" s="7"/>
      <c r="O109" s="7"/>
      <c r="P109" s="7"/>
      <c r="Q109" s="7"/>
      <c r="R109" s="7" t="s">
        <v>332</v>
      </c>
      <c r="S109" s="7"/>
      <c r="T109" s="7" t="s">
        <v>595</v>
      </c>
      <c r="U109" s="7"/>
    </row>
    <row r="110" spans="1:21" x14ac:dyDescent="0.3">
      <c r="A110" s="7" t="s">
        <v>318</v>
      </c>
      <c r="B110" s="6" t="s">
        <v>169</v>
      </c>
      <c r="C110" s="6" t="s">
        <v>477</v>
      </c>
      <c r="D110" s="6" t="s">
        <v>475</v>
      </c>
      <c r="E110" s="6" t="s">
        <v>228</v>
      </c>
      <c r="F110" s="6" t="s">
        <v>592</v>
      </c>
      <c r="G110" s="27" t="s">
        <v>592</v>
      </c>
      <c r="H110" s="8" t="s">
        <v>592</v>
      </c>
      <c r="I110" s="6" t="s">
        <v>592</v>
      </c>
      <c r="J110" s="7" t="s">
        <v>40</v>
      </c>
      <c r="K110" s="7"/>
      <c r="L110" s="7"/>
      <c r="M110" s="7"/>
      <c r="N110" s="7"/>
      <c r="O110" s="7"/>
      <c r="P110" s="7"/>
      <c r="Q110" s="7"/>
      <c r="R110" s="7" t="s">
        <v>332</v>
      </c>
      <c r="S110" s="7"/>
      <c r="T110" s="7" t="s">
        <v>594</v>
      </c>
      <c r="U110" s="7" t="s">
        <v>499</v>
      </c>
    </row>
    <row r="111" spans="1:21" x14ac:dyDescent="0.3">
      <c r="A111" s="7" t="s">
        <v>319</v>
      </c>
      <c r="B111" s="6" t="s">
        <v>169</v>
      </c>
      <c r="C111" s="6" t="s">
        <v>478</v>
      </c>
      <c r="D111" s="6" t="s">
        <v>475</v>
      </c>
      <c r="E111" s="6" t="s">
        <v>228</v>
      </c>
      <c r="F111" s="6" t="s">
        <v>592</v>
      </c>
      <c r="G111" s="27" t="s">
        <v>592</v>
      </c>
      <c r="H111" s="8" t="s">
        <v>592</v>
      </c>
      <c r="I111" s="6" t="s">
        <v>592</v>
      </c>
      <c r="J111" s="7" t="s">
        <v>40</v>
      </c>
      <c r="K111" s="7"/>
      <c r="L111" s="7"/>
      <c r="M111" s="7"/>
      <c r="N111" s="7"/>
      <c r="O111" s="7"/>
      <c r="P111" s="7"/>
      <c r="Q111" s="7"/>
      <c r="R111" s="7" t="s">
        <v>332</v>
      </c>
      <c r="S111" s="7"/>
      <c r="T111" s="7" t="s">
        <v>594</v>
      </c>
      <c r="U111" s="7" t="s">
        <v>499</v>
      </c>
    </row>
    <row r="112" spans="1:21" x14ac:dyDescent="0.3">
      <c r="A112" s="7" t="s">
        <v>321</v>
      </c>
      <c r="B112" s="6" t="s">
        <v>169</v>
      </c>
      <c r="C112" s="6" t="s">
        <v>479</v>
      </c>
      <c r="D112" s="6" t="s">
        <v>475</v>
      </c>
      <c r="E112" s="6" t="s">
        <v>228</v>
      </c>
      <c r="F112" s="6" t="s">
        <v>592</v>
      </c>
      <c r="G112" s="27" t="s">
        <v>592</v>
      </c>
      <c r="H112" s="8" t="s">
        <v>592</v>
      </c>
      <c r="I112" s="6" t="s">
        <v>592</v>
      </c>
      <c r="J112" s="7" t="s">
        <v>40</v>
      </c>
      <c r="K112" s="7"/>
      <c r="L112" s="7"/>
      <c r="M112" s="7"/>
      <c r="N112" s="7"/>
      <c r="O112" s="7"/>
      <c r="P112" s="7"/>
      <c r="Q112" s="7"/>
      <c r="R112" s="7" t="s">
        <v>332</v>
      </c>
      <c r="S112" s="7"/>
      <c r="T112" s="7" t="s">
        <v>594</v>
      </c>
      <c r="U112" s="7" t="s">
        <v>499</v>
      </c>
    </row>
    <row r="113" spans="1:21" x14ac:dyDescent="0.3">
      <c r="A113" s="7" t="s">
        <v>322</v>
      </c>
      <c r="B113" s="6" t="s">
        <v>169</v>
      </c>
      <c r="C113" s="6" t="s">
        <v>481</v>
      </c>
      <c r="D113" s="6" t="s">
        <v>475</v>
      </c>
      <c r="E113" s="6" t="s">
        <v>228</v>
      </c>
      <c r="F113" s="6">
        <v>84.31</v>
      </c>
      <c r="G113" s="27" t="s">
        <v>579</v>
      </c>
      <c r="H113" s="8" t="s">
        <v>577</v>
      </c>
      <c r="I113" s="6" t="s">
        <v>578</v>
      </c>
      <c r="J113" s="7" t="s">
        <v>40</v>
      </c>
      <c r="K113" s="7"/>
      <c r="L113" s="7"/>
      <c r="M113" s="7"/>
      <c r="N113" s="7"/>
      <c r="O113" s="7"/>
      <c r="P113" s="7"/>
      <c r="Q113" s="7"/>
      <c r="R113" s="7" t="s">
        <v>332</v>
      </c>
      <c r="S113" s="7"/>
      <c r="T113" s="7" t="s">
        <v>594</v>
      </c>
      <c r="U113" s="7" t="s">
        <v>499</v>
      </c>
    </row>
    <row r="114" spans="1:21" x14ac:dyDescent="0.3">
      <c r="A114" s="7" t="s">
        <v>324</v>
      </c>
      <c r="B114" s="6" t="s">
        <v>169</v>
      </c>
      <c r="C114" s="6" t="s">
        <v>482</v>
      </c>
      <c r="D114" s="6" t="s">
        <v>475</v>
      </c>
      <c r="E114" s="6" t="s">
        <v>228</v>
      </c>
      <c r="F114" s="6" t="s">
        <v>592</v>
      </c>
      <c r="G114" s="27" t="s">
        <v>592</v>
      </c>
      <c r="H114" s="8" t="s">
        <v>592</v>
      </c>
      <c r="I114" s="6" t="s">
        <v>592</v>
      </c>
      <c r="J114" s="7" t="s">
        <v>40</v>
      </c>
      <c r="K114" s="7"/>
      <c r="L114" s="7"/>
      <c r="M114" s="7"/>
      <c r="N114" s="7"/>
      <c r="O114" s="7"/>
      <c r="P114" s="7"/>
      <c r="Q114" s="7"/>
      <c r="R114" s="7" t="s">
        <v>332</v>
      </c>
      <c r="S114" s="7"/>
      <c r="T114" s="7" t="s">
        <v>594</v>
      </c>
      <c r="U114" s="7" t="s">
        <v>499</v>
      </c>
    </row>
    <row r="115" spans="1:21" x14ac:dyDescent="0.3">
      <c r="A115" s="7" t="s">
        <v>484</v>
      </c>
      <c r="B115" s="6" t="s">
        <v>169</v>
      </c>
      <c r="C115" s="6" t="s">
        <v>483</v>
      </c>
      <c r="D115" s="6" t="s">
        <v>475</v>
      </c>
      <c r="E115" s="6" t="s">
        <v>228</v>
      </c>
      <c r="F115" s="6" t="s">
        <v>592</v>
      </c>
      <c r="G115" s="27" t="s">
        <v>592</v>
      </c>
      <c r="H115" s="8" t="s">
        <v>592</v>
      </c>
      <c r="I115" s="6" t="s">
        <v>592</v>
      </c>
      <c r="J115" s="7" t="s">
        <v>40</v>
      </c>
      <c r="K115" s="7"/>
      <c r="L115" s="7"/>
      <c r="M115" s="7"/>
      <c r="N115" s="7"/>
      <c r="O115" s="7"/>
      <c r="P115" s="7"/>
      <c r="Q115" s="7"/>
      <c r="R115" s="7" t="s">
        <v>332</v>
      </c>
      <c r="S115" s="7"/>
      <c r="T115" s="7" t="s">
        <v>594</v>
      </c>
      <c r="U115" s="7" t="s">
        <v>499</v>
      </c>
    </row>
    <row r="116" spans="1:21" x14ac:dyDescent="0.3">
      <c r="A116" s="7" t="s">
        <v>486</v>
      </c>
      <c r="B116" s="6" t="s">
        <v>169</v>
      </c>
      <c r="C116" s="6" t="s">
        <v>485</v>
      </c>
      <c r="D116" s="6" t="s">
        <v>475</v>
      </c>
      <c r="E116" s="6" t="s">
        <v>228</v>
      </c>
      <c r="F116" s="6" t="s">
        <v>592</v>
      </c>
      <c r="G116" s="27" t="s">
        <v>592</v>
      </c>
      <c r="H116" s="8" t="s">
        <v>592</v>
      </c>
      <c r="I116" s="6" t="s">
        <v>592</v>
      </c>
      <c r="J116" s="7" t="s">
        <v>40</v>
      </c>
      <c r="K116" s="7"/>
      <c r="L116" s="7"/>
      <c r="M116" s="7"/>
      <c r="N116" s="7"/>
      <c r="O116" s="7"/>
      <c r="P116" s="7"/>
      <c r="Q116" s="7"/>
      <c r="R116" s="7" t="s">
        <v>332</v>
      </c>
      <c r="S116" s="7"/>
      <c r="T116" s="7" t="s">
        <v>594</v>
      </c>
      <c r="U116" s="7" t="s">
        <v>499</v>
      </c>
    </row>
    <row r="117" spans="1:21" x14ac:dyDescent="0.3">
      <c r="A117" s="7" t="s">
        <v>813</v>
      </c>
      <c r="B117" s="6" t="s">
        <v>206</v>
      </c>
      <c r="C117" s="6" t="s">
        <v>788</v>
      </c>
      <c r="D117" s="6" t="s">
        <v>475</v>
      </c>
      <c r="E117" s="6" t="s">
        <v>228</v>
      </c>
      <c r="F117" s="6">
        <v>528</v>
      </c>
      <c r="G117" s="27" t="s">
        <v>847</v>
      </c>
      <c r="H117" s="8" t="s">
        <v>848</v>
      </c>
      <c r="I117" s="6" t="s">
        <v>849</v>
      </c>
      <c r="J117" s="7" t="s">
        <v>40</v>
      </c>
      <c r="K117" s="7"/>
      <c r="L117" s="7"/>
      <c r="M117" s="7"/>
      <c r="N117" s="7"/>
      <c r="O117" s="7"/>
      <c r="P117" s="7"/>
      <c r="Q117" s="7"/>
      <c r="R117" s="7" t="s">
        <v>332</v>
      </c>
      <c r="S117" s="7"/>
      <c r="T117" s="7" t="s">
        <v>595</v>
      </c>
      <c r="U117" s="7"/>
    </row>
    <row r="118" spans="1:21" x14ac:dyDescent="0.3">
      <c r="A118" s="7" t="s">
        <v>814</v>
      </c>
      <c r="B118" s="6" t="s">
        <v>206</v>
      </c>
      <c r="C118" s="6" t="s">
        <v>789</v>
      </c>
      <c r="D118" s="6" t="s">
        <v>475</v>
      </c>
      <c r="E118" s="6" t="s">
        <v>228</v>
      </c>
      <c r="F118" s="6">
        <v>144</v>
      </c>
      <c r="G118" s="27" t="s">
        <v>847</v>
      </c>
      <c r="H118" s="8" t="s">
        <v>850</v>
      </c>
      <c r="I118" s="6" t="s">
        <v>851</v>
      </c>
      <c r="J118" s="7" t="s">
        <v>40</v>
      </c>
      <c r="K118" s="7"/>
      <c r="L118" s="7"/>
      <c r="M118" s="7"/>
      <c r="N118" s="7"/>
      <c r="O118" s="7"/>
      <c r="P118" s="7"/>
      <c r="Q118" s="7"/>
      <c r="R118" s="7" t="s">
        <v>332</v>
      </c>
      <c r="S118" s="7"/>
      <c r="T118" s="7" t="s">
        <v>595</v>
      </c>
      <c r="U118" s="7"/>
    </row>
    <row r="119" spans="1:21" x14ac:dyDescent="0.3">
      <c r="A119" s="7" t="s">
        <v>815</v>
      </c>
      <c r="B119" s="6" t="s">
        <v>206</v>
      </c>
      <c r="C119" s="6" t="s">
        <v>790</v>
      </c>
      <c r="D119" s="6" t="s">
        <v>475</v>
      </c>
      <c r="E119" s="6" t="s">
        <v>228</v>
      </c>
      <c r="F119" s="6">
        <v>10.75</v>
      </c>
      <c r="G119" s="27" t="s">
        <v>847</v>
      </c>
      <c r="H119" s="8" t="s">
        <v>852</v>
      </c>
      <c r="I119" s="6" t="s">
        <v>853</v>
      </c>
      <c r="J119" s="7" t="s">
        <v>40</v>
      </c>
      <c r="K119" s="7"/>
      <c r="L119" s="7"/>
      <c r="M119" s="7"/>
      <c r="N119" s="7"/>
      <c r="O119" s="7"/>
      <c r="P119" s="7"/>
      <c r="Q119" s="7"/>
      <c r="R119" s="7" t="s">
        <v>332</v>
      </c>
      <c r="S119" s="7"/>
      <c r="T119" s="7" t="s">
        <v>595</v>
      </c>
      <c r="U119" s="7"/>
    </row>
    <row r="120" spans="1:21" x14ac:dyDescent="0.3">
      <c r="A120" s="7" t="s">
        <v>816</v>
      </c>
      <c r="B120" s="6" t="s">
        <v>206</v>
      </c>
      <c r="C120" s="6" t="s">
        <v>596</v>
      </c>
      <c r="D120" s="6" t="s">
        <v>475</v>
      </c>
      <c r="E120" s="6" t="s">
        <v>228</v>
      </c>
      <c r="F120" s="6">
        <v>1296.8800000000001</v>
      </c>
      <c r="G120" s="27" t="s">
        <v>847</v>
      </c>
      <c r="H120" s="8" t="s">
        <v>598</v>
      </c>
      <c r="I120" s="6" t="s">
        <v>599</v>
      </c>
      <c r="J120" s="7" t="s">
        <v>40</v>
      </c>
      <c r="K120" s="7"/>
      <c r="L120" s="7"/>
      <c r="M120" s="7"/>
      <c r="N120" s="7"/>
      <c r="O120" s="7"/>
      <c r="P120" s="7"/>
      <c r="Q120" s="7"/>
      <c r="R120" s="7" t="s">
        <v>332</v>
      </c>
      <c r="S120" s="7"/>
      <c r="T120" s="7" t="s">
        <v>595</v>
      </c>
      <c r="U120" s="7"/>
    </row>
    <row r="121" spans="1:21" x14ac:dyDescent="0.3">
      <c r="A121" s="7" t="s">
        <v>817</v>
      </c>
      <c r="B121" s="6" t="s">
        <v>206</v>
      </c>
      <c r="C121" s="6" t="s">
        <v>791</v>
      </c>
      <c r="D121" s="6" t="s">
        <v>475</v>
      </c>
      <c r="E121" s="6" t="s">
        <v>228</v>
      </c>
      <c r="F121" s="6">
        <v>4244</v>
      </c>
      <c r="G121" s="27" t="s">
        <v>847</v>
      </c>
      <c r="H121" s="8" t="s">
        <v>854</v>
      </c>
      <c r="I121" s="6" t="s">
        <v>855</v>
      </c>
      <c r="J121" s="7" t="s">
        <v>40</v>
      </c>
      <c r="K121" s="7"/>
      <c r="L121" s="7"/>
      <c r="M121" s="7"/>
      <c r="N121" s="7"/>
      <c r="O121" s="7"/>
      <c r="P121" s="7"/>
      <c r="Q121" s="7"/>
      <c r="R121" s="7" t="s">
        <v>332</v>
      </c>
      <c r="S121" s="7"/>
      <c r="T121" s="7" t="s">
        <v>595</v>
      </c>
      <c r="U121" s="7"/>
    </row>
    <row r="122" spans="1:21" x14ac:dyDescent="0.3">
      <c r="A122" s="7" t="s">
        <v>818</v>
      </c>
      <c r="B122" s="6" t="s">
        <v>206</v>
      </c>
      <c r="C122" s="6" t="s">
        <v>792</v>
      </c>
      <c r="D122" s="6" t="s">
        <v>475</v>
      </c>
      <c r="E122" s="6" t="s">
        <v>228</v>
      </c>
      <c r="F122" s="6">
        <v>3540</v>
      </c>
      <c r="G122" s="27" t="s">
        <v>847</v>
      </c>
      <c r="H122" s="8" t="s">
        <v>856</v>
      </c>
      <c r="I122" s="6" t="s">
        <v>857</v>
      </c>
      <c r="J122" s="7" t="s">
        <v>40</v>
      </c>
      <c r="K122" s="7"/>
      <c r="L122" s="7"/>
      <c r="M122" s="7"/>
      <c r="N122" s="7"/>
      <c r="O122" s="7"/>
      <c r="P122" s="7"/>
      <c r="Q122" s="7"/>
      <c r="R122" s="7" t="s">
        <v>332</v>
      </c>
      <c r="S122" s="7"/>
      <c r="T122" s="7" t="s">
        <v>595</v>
      </c>
      <c r="U122" s="7"/>
    </row>
    <row r="123" spans="1:21" x14ac:dyDescent="0.3">
      <c r="A123" s="7" t="s">
        <v>819</v>
      </c>
      <c r="B123" s="6" t="s">
        <v>206</v>
      </c>
      <c r="C123" s="6" t="s">
        <v>609</v>
      </c>
      <c r="D123" s="6" t="s">
        <v>475</v>
      </c>
      <c r="E123" s="6" t="s">
        <v>228</v>
      </c>
      <c r="F123" s="6">
        <v>2128</v>
      </c>
      <c r="G123" s="27" t="s">
        <v>847</v>
      </c>
      <c r="H123" s="8" t="s">
        <v>610</v>
      </c>
      <c r="I123" s="6" t="s">
        <v>611</v>
      </c>
      <c r="J123" s="7" t="s">
        <v>40</v>
      </c>
      <c r="K123" s="7"/>
      <c r="L123" s="7"/>
      <c r="M123" s="7"/>
      <c r="N123" s="7"/>
      <c r="O123" s="7"/>
      <c r="P123" s="7"/>
      <c r="Q123" s="7"/>
      <c r="R123" s="7" t="s">
        <v>332</v>
      </c>
      <c r="S123" s="7"/>
      <c r="T123" s="7" t="s">
        <v>595</v>
      </c>
      <c r="U123" s="7"/>
    </row>
    <row r="124" spans="1:21" x14ac:dyDescent="0.3">
      <c r="A124" s="7" t="s">
        <v>820</v>
      </c>
      <c r="B124" s="6" t="s">
        <v>206</v>
      </c>
      <c r="C124" s="6" t="s">
        <v>793</v>
      </c>
      <c r="D124" s="6" t="s">
        <v>475</v>
      </c>
      <c r="E124" s="6" t="s">
        <v>228</v>
      </c>
      <c r="F124" s="6">
        <v>2772</v>
      </c>
      <c r="G124" s="27" t="s">
        <v>847</v>
      </c>
      <c r="H124" s="8" t="s">
        <v>858</v>
      </c>
      <c r="I124" s="6" t="s">
        <v>859</v>
      </c>
      <c r="J124" s="7" t="s">
        <v>40</v>
      </c>
      <c r="K124" s="7"/>
      <c r="L124" s="7"/>
      <c r="M124" s="7"/>
      <c r="N124" s="7"/>
      <c r="O124" s="7"/>
      <c r="P124" s="7"/>
      <c r="Q124" s="7"/>
      <c r="R124" s="7" t="s">
        <v>332</v>
      </c>
      <c r="S124" s="7"/>
      <c r="T124" s="7" t="s">
        <v>595</v>
      </c>
      <c r="U124" s="7"/>
    </row>
    <row r="125" spans="1:21" x14ac:dyDescent="0.3">
      <c r="A125" s="7" t="s">
        <v>821</v>
      </c>
      <c r="B125" s="6" t="s">
        <v>206</v>
      </c>
      <c r="C125" s="6" t="s">
        <v>794</v>
      </c>
      <c r="D125" s="6" t="s">
        <v>475</v>
      </c>
      <c r="E125" s="6" t="s">
        <v>228</v>
      </c>
      <c r="F125" s="6">
        <v>40220.81</v>
      </c>
      <c r="G125" s="27" t="s">
        <v>524</v>
      </c>
      <c r="H125" s="8" t="s">
        <v>860</v>
      </c>
      <c r="I125" s="6" t="s">
        <v>861</v>
      </c>
      <c r="J125" s="7" t="s">
        <v>40</v>
      </c>
      <c r="K125" s="7"/>
      <c r="L125" s="7"/>
      <c r="M125" s="7"/>
      <c r="N125" s="7"/>
      <c r="O125" s="7"/>
      <c r="P125" s="7"/>
      <c r="Q125" s="7"/>
      <c r="R125" s="7" t="s">
        <v>332</v>
      </c>
      <c r="S125" s="7"/>
      <c r="T125" s="7" t="s">
        <v>595</v>
      </c>
      <c r="U125" s="7"/>
    </row>
    <row r="126" spans="1:21" x14ac:dyDescent="0.3">
      <c r="A126" s="7" t="s">
        <v>822</v>
      </c>
      <c r="B126" s="6" t="s">
        <v>206</v>
      </c>
      <c r="C126" s="6" t="s">
        <v>243</v>
      </c>
      <c r="D126" s="6" t="s">
        <v>475</v>
      </c>
      <c r="E126" s="6" t="s">
        <v>228</v>
      </c>
      <c r="F126" s="6">
        <v>6521.94</v>
      </c>
      <c r="G126" s="27" t="s">
        <v>847</v>
      </c>
      <c r="H126" s="8" t="s">
        <v>862</v>
      </c>
      <c r="I126" s="6" t="s">
        <v>863</v>
      </c>
      <c r="J126" s="7" t="s">
        <v>40</v>
      </c>
      <c r="K126" s="7"/>
      <c r="L126" s="7"/>
      <c r="M126" s="7"/>
      <c r="N126" s="7"/>
      <c r="O126" s="7"/>
      <c r="P126" s="7"/>
      <c r="Q126" s="7"/>
      <c r="R126" s="7" t="s">
        <v>332</v>
      </c>
      <c r="S126" s="7"/>
      <c r="T126" s="7" t="s">
        <v>595</v>
      </c>
      <c r="U126" s="7"/>
    </row>
    <row r="127" spans="1:21" x14ac:dyDescent="0.3">
      <c r="A127" s="7" t="s">
        <v>823</v>
      </c>
      <c r="B127" s="6" t="s">
        <v>206</v>
      </c>
      <c r="C127" s="6" t="s">
        <v>246</v>
      </c>
      <c r="D127" s="6" t="s">
        <v>475</v>
      </c>
      <c r="E127" s="6" t="s">
        <v>228</v>
      </c>
      <c r="F127" s="6">
        <v>15807.5</v>
      </c>
      <c r="G127" s="27" t="s">
        <v>847</v>
      </c>
      <c r="H127" s="8" t="s">
        <v>864</v>
      </c>
      <c r="I127" s="6" t="s">
        <v>865</v>
      </c>
      <c r="J127" s="7" t="s">
        <v>40</v>
      </c>
      <c r="K127" s="7"/>
      <c r="L127" s="7"/>
      <c r="M127" s="7"/>
      <c r="N127" s="7"/>
      <c r="O127" s="7"/>
      <c r="P127" s="7"/>
      <c r="Q127" s="7"/>
      <c r="R127" s="7" t="s">
        <v>332</v>
      </c>
      <c r="S127" s="7"/>
      <c r="T127" s="7" t="s">
        <v>595</v>
      </c>
      <c r="U127" s="7"/>
    </row>
    <row r="128" spans="1:21" x14ac:dyDescent="0.3">
      <c r="A128" s="7" t="s">
        <v>824</v>
      </c>
      <c r="B128" s="6" t="s">
        <v>206</v>
      </c>
      <c r="C128" s="6" t="s">
        <v>795</v>
      </c>
      <c r="D128" s="6" t="s">
        <v>475</v>
      </c>
      <c r="E128" s="6" t="s">
        <v>228</v>
      </c>
      <c r="F128" s="6">
        <v>54.38</v>
      </c>
      <c r="G128" s="27" t="s">
        <v>847</v>
      </c>
      <c r="H128" s="8" t="s">
        <v>866</v>
      </c>
      <c r="I128" s="6" t="s">
        <v>867</v>
      </c>
      <c r="J128" s="7" t="s">
        <v>40</v>
      </c>
      <c r="K128" s="7"/>
      <c r="L128" s="7"/>
      <c r="M128" s="7"/>
      <c r="N128" s="7"/>
      <c r="O128" s="7"/>
      <c r="P128" s="7"/>
      <c r="Q128" s="7"/>
      <c r="R128" s="7" t="s">
        <v>332</v>
      </c>
      <c r="S128" s="7"/>
      <c r="T128" s="7" t="s">
        <v>595</v>
      </c>
      <c r="U128" s="7"/>
    </row>
    <row r="129" spans="1:21" x14ac:dyDescent="0.3">
      <c r="A129" s="7" t="s">
        <v>825</v>
      </c>
      <c r="B129" s="6" t="s">
        <v>206</v>
      </c>
      <c r="C129" s="6" t="s">
        <v>474</v>
      </c>
      <c r="D129" s="6" t="s">
        <v>475</v>
      </c>
      <c r="E129" s="6" t="s">
        <v>228</v>
      </c>
      <c r="F129" s="6">
        <v>356816</v>
      </c>
      <c r="G129" s="27" t="s">
        <v>847</v>
      </c>
      <c r="H129" s="8" t="s">
        <v>868</v>
      </c>
      <c r="I129" s="6" t="s">
        <v>869</v>
      </c>
      <c r="J129" s="7" t="s">
        <v>40</v>
      </c>
      <c r="K129" s="7"/>
      <c r="L129" s="7"/>
      <c r="M129" s="7"/>
      <c r="N129" s="7"/>
      <c r="O129" s="7"/>
      <c r="P129" s="7"/>
      <c r="Q129" s="7"/>
      <c r="R129" s="7" t="s">
        <v>332</v>
      </c>
      <c r="S129" s="7"/>
      <c r="T129" s="7" t="s">
        <v>595</v>
      </c>
      <c r="U129" s="7"/>
    </row>
    <row r="130" spans="1:21" x14ac:dyDescent="0.3">
      <c r="A130" s="7" t="s">
        <v>826</v>
      </c>
      <c r="B130" s="6" t="s">
        <v>206</v>
      </c>
      <c r="C130" s="6" t="s">
        <v>796</v>
      </c>
      <c r="D130" s="6" t="s">
        <v>475</v>
      </c>
      <c r="E130" s="6" t="s">
        <v>228</v>
      </c>
      <c r="F130" s="6">
        <v>5968</v>
      </c>
      <c r="G130" s="27" t="s">
        <v>847</v>
      </c>
      <c r="H130" s="8" t="s">
        <v>870</v>
      </c>
      <c r="I130" s="6" t="s">
        <v>871</v>
      </c>
      <c r="J130" s="7" t="s">
        <v>40</v>
      </c>
      <c r="K130" s="7"/>
      <c r="L130" s="7"/>
      <c r="M130" s="7"/>
      <c r="N130" s="7"/>
      <c r="O130" s="7"/>
      <c r="P130" s="7"/>
      <c r="Q130" s="7"/>
      <c r="R130" s="7" t="s">
        <v>332</v>
      </c>
      <c r="S130" s="7"/>
      <c r="T130" s="7" t="s">
        <v>595</v>
      </c>
      <c r="U130" s="7"/>
    </row>
    <row r="131" spans="1:21" x14ac:dyDescent="0.3">
      <c r="A131" s="7" t="s">
        <v>827</v>
      </c>
      <c r="B131" s="6" t="s">
        <v>206</v>
      </c>
      <c r="C131" s="6" t="s">
        <v>476</v>
      </c>
      <c r="D131" s="6" t="s">
        <v>475</v>
      </c>
      <c r="E131" s="6" t="s">
        <v>228</v>
      </c>
      <c r="F131" s="6">
        <v>25296</v>
      </c>
      <c r="G131" s="27" t="s">
        <v>847</v>
      </c>
      <c r="H131" s="8" t="s">
        <v>872</v>
      </c>
      <c r="I131" s="6" t="s">
        <v>873</v>
      </c>
      <c r="J131" s="7" t="s">
        <v>40</v>
      </c>
      <c r="K131" s="7"/>
      <c r="L131" s="7"/>
      <c r="M131" s="7"/>
      <c r="N131" s="7"/>
      <c r="O131" s="7"/>
      <c r="P131" s="7"/>
      <c r="Q131" s="7"/>
      <c r="R131" s="7" t="s">
        <v>332</v>
      </c>
      <c r="S131" s="7"/>
      <c r="T131" s="7" t="s">
        <v>595</v>
      </c>
      <c r="U131" s="7"/>
    </row>
    <row r="132" spans="1:21" x14ac:dyDescent="0.3">
      <c r="A132" s="7" t="s">
        <v>828</v>
      </c>
      <c r="B132" s="6" t="s">
        <v>206</v>
      </c>
      <c r="C132" s="6" t="s">
        <v>651</v>
      </c>
      <c r="D132" s="6" t="s">
        <v>475</v>
      </c>
      <c r="E132" s="6" t="s">
        <v>228</v>
      </c>
      <c r="F132" s="6">
        <v>80</v>
      </c>
      <c r="G132" s="27" t="s">
        <v>847</v>
      </c>
      <c r="H132" s="8" t="s">
        <v>874</v>
      </c>
      <c r="I132" s="6" t="s">
        <v>875</v>
      </c>
      <c r="J132" s="7" t="s">
        <v>40</v>
      </c>
      <c r="K132" s="7"/>
      <c r="L132" s="7"/>
      <c r="M132" s="7"/>
      <c r="N132" s="7"/>
      <c r="O132" s="7"/>
      <c r="P132" s="7"/>
      <c r="Q132" s="7"/>
      <c r="R132" s="7" t="s">
        <v>332</v>
      </c>
      <c r="S132" s="7"/>
      <c r="T132" s="7" t="s">
        <v>595</v>
      </c>
      <c r="U132" s="7"/>
    </row>
    <row r="133" spans="1:21" x14ac:dyDescent="0.3">
      <c r="A133" s="7" t="s">
        <v>829</v>
      </c>
      <c r="B133" s="6" t="s">
        <v>206</v>
      </c>
      <c r="C133" s="6" t="s">
        <v>797</v>
      </c>
      <c r="D133" s="6" t="s">
        <v>475</v>
      </c>
      <c r="E133" s="6" t="s">
        <v>228</v>
      </c>
      <c r="F133" s="6">
        <v>80</v>
      </c>
      <c r="G133" s="27" t="s">
        <v>847</v>
      </c>
      <c r="H133" s="8" t="s">
        <v>532</v>
      </c>
      <c r="I133" s="6" t="s">
        <v>533</v>
      </c>
      <c r="J133" s="7" t="s">
        <v>40</v>
      </c>
      <c r="K133" s="7"/>
      <c r="L133" s="7"/>
      <c r="M133" s="7"/>
      <c r="N133" s="7"/>
      <c r="O133" s="7"/>
      <c r="P133" s="7"/>
      <c r="Q133" s="7"/>
      <c r="R133" s="7" t="s">
        <v>332</v>
      </c>
      <c r="S133" s="7"/>
      <c r="T133" s="7" t="s">
        <v>595</v>
      </c>
      <c r="U133" s="7"/>
    </row>
    <row r="134" spans="1:21" x14ac:dyDescent="0.3">
      <c r="A134" s="7" t="s">
        <v>830</v>
      </c>
      <c r="B134" s="6" t="s">
        <v>206</v>
      </c>
      <c r="C134" s="6" t="s">
        <v>798</v>
      </c>
      <c r="D134" s="6" t="s">
        <v>475</v>
      </c>
      <c r="E134" s="6" t="s">
        <v>228</v>
      </c>
      <c r="F134" s="6">
        <v>80</v>
      </c>
      <c r="G134" s="27" t="s">
        <v>847</v>
      </c>
      <c r="H134" s="8" t="s">
        <v>876</v>
      </c>
      <c r="I134" s="6" t="s">
        <v>877</v>
      </c>
      <c r="J134" s="7" t="s">
        <v>40</v>
      </c>
      <c r="K134" s="7"/>
      <c r="L134" s="7"/>
      <c r="M134" s="7"/>
      <c r="N134" s="7"/>
      <c r="O134" s="7"/>
      <c r="P134" s="7"/>
      <c r="Q134" s="7"/>
      <c r="R134" s="7" t="s">
        <v>332</v>
      </c>
      <c r="S134" s="7"/>
      <c r="T134" s="7" t="s">
        <v>595</v>
      </c>
      <c r="U134" s="7"/>
    </row>
    <row r="135" spans="1:21" x14ac:dyDescent="0.3">
      <c r="A135" s="7" t="s">
        <v>831</v>
      </c>
      <c r="B135" s="6" t="s">
        <v>206</v>
      </c>
      <c r="C135" s="6" t="s">
        <v>799</v>
      </c>
      <c r="D135" s="6" t="s">
        <v>475</v>
      </c>
      <c r="E135" s="6" t="s">
        <v>228</v>
      </c>
      <c r="F135" s="6">
        <v>119.13</v>
      </c>
      <c r="G135" s="27" t="s">
        <v>847</v>
      </c>
      <c r="H135" s="8" t="s">
        <v>878</v>
      </c>
      <c r="I135" s="6" t="s">
        <v>879</v>
      </c>
      <c r="J135" s="7" t="s">
        <v>40</v>
      </c>
      <c r="K135" s="7"/>
      <c r="L135" s="7"/>
      <c r="M135" s="7"/>
      <c r="N135" s="7"/>
      <c r="O135" s="7"/>
      <c r="P135" s="7"/>
      <c r="Q135" s="7"/>
      <c r="R135" s="7" t="s">
        <v>332</v>
      </c>
      <c r="S135" s="7"/>
      <c r="T135" s="7" t="s">
        <v>595</v>
      </c>
      <c r="U135" s="7"/>
    </row>
    <row r="136" spans="1:21" x14ac:dyDescent="0.3">
      <c r="A136" s="7" t="s">
        <v>832</v>
      </c>
      <c r="B136" s="6" t="s">
        <v>206</v>
      </c>
      <c r="C136" s="6" t="s">
        <v>800</v>
      </c>
      <c r="D136" s="6" t="s">
        <v>475</v>
      </c>
      <c r="E136" s="6" t="s">
        <v>228</v>
      </c>
      <c r="F136" s="6">
        <v>16</v>
      </c>
      <c r="G136" s="27" t="s">
        <v>847</v>
      </c>
      <c r="H136" s="8" t="s">
        <v>880</v>
      </c>
      <c r="I136" s="6" t="s">
        <v>881</v>
      </c>
      <c r="J136" s="7" t="s">
        <v>40</v>
      </c>
      <c r="K136" s="7"/>
      <c r="L136" s="7"/>
      <c r="M136" s="7"/>
      <c r="N136" s="7"/>
      <c r="O136" s="7"/>
      <c r="P136" s="7"/>
      <c r="Q136" s="7"/>
      <c r="R136" s="7" t="s">
        <v>332</v>
      </c>
      <c r="S136" s="7"/>
      <c r="T136" s="7" t="s">
        <v>595</v>
      </c>
      <c r="U136" s="7"/>
    </row>
    <row r="137" spans="1:21" x14ac:dyDescent="0.3">
      <c r="A137" s="7" t="s">
        <v>833</v>
      </c>
      <c r="B137" s="6" t="s">
        <v>206</v>
      </c>
      <c r="C137" s="6" t="s">
        <v>801</v>
      </c>
      <c r="D137" s="6" t="s">
        <v>475</v>
      </c>
      <c r="E137" s="6" t="s">
        <v>228</v>
      </c>
      <c r="F137" s="6">
        <v>11117.25</v>
      </c>
      <c r="G137" s="27" t="s">
        <v>847</v>
      </c>
      <c r="H137" s="8" t="s">
        <v>882</v>
      </c>
      <c r="I137" s="6" t="s">
        <v>883</v>
      </c>
      <c r="J137" s="7" t="s">
        <v>40</v>
      </c>
      <c r="K137" s="7"/>
      <c r="L137" s="7"/>
      <c r="M137" s="7"/>
      <c r="N137" s="7"/>
      <c r="O137" s="7"/>
      <c r="P137" s="7"/>
      <c r="Q137" s="7"/>
      <c r="R137" s="7" t="s">
        <v>332</v>
      </c>
      <c r="S137" s="7"/>
      <c r="T137" s="7" t="s">
        <v>595</v>
      </c>
      <c r="U137" s="7"/>
    </row>
    <row r="138" spans="1:21" x14ac:dyDescent="0.3">
      <c r="A138" s="7" t="s">
        <v>834</v>
      </c>
      <c r="B138" s="6" t="s">
        <v>206</v>
      </c>
      <c r="C138" s="6" t="s">
        <v>802</v>
      </c>
      <c r="D138" s="6" t="s">
        <v>475</v>
      </c>
      <c r="E138" s="6" t="s">
        <v>228</v>
      </c>
      <c r="F138" s="6">
        <v>8528</v>
      </c>
      <c r="G138" s="27" t="s">
        <v>847</v>
      </c>
      <c r="H138" s="8" t="s">
        <v>884</v>
      </c>
      <c r="I138" s="6" t="s">
        <v>885</v>
      </c>
      <c r="J138" s="7" t="s">
        <v>40</v>
      </c>
      <c r="K138" s="7"/>
      <c r="L138" s="7"/>
      <c r="M138" s="7"/>
      <c r="N138" s="7"/>
      <c r="O138" s="7"/>
      <c r="P138" s="7"/>
      <c r="Q138" s="7"/>
      <c r="R138" s="7" t="s">
        <v>332</v>
      </c>
      <c r="S138" s="7"/>
      <c r="T138" s="7" t="s">
        <v>595</v>
      </c>
      <c r="U138" s="7"/>
    </row>
    <row r="139" spans="1:21" x14ac:dyDescent="0.3">
      <c r="A139" s="7" t="s">
        <v>835</v>
      </c>
      <c r="B139" s="6" t="s">
        <v>206</v>
      </c>
      <c r="C139" s="6" t="s">
        <v>803</v>
      </c>
      <c r="D139" s="6" t="s">
        <v>475</v>
      </c>
      <c r="E139" s="6" t="s">
        <v>228</v>
      </c>
      <c r="F139" s="6">
        <v>16</v>
      </c>
      <c r="G139" s="27" t="s">
        <v>847</v>
      </c>
      <c r="H139" s="8" t="s">
        <v>886</v>
      </c>
      <c r="I139" s="6" t="s">
        <v>887</v>
      </c>
      <c r="J139" s="7" t="s">
        <v>40</v>
      </c>
      <c r="K139" s="7"/>
      <c r="L139" s="7"/>
      <c r="M139" s="7"/>
      <c r="N139" s="7"/>
      <c r="O139" s="7"/>
      <c r="P139" s="7"/>
      <c r="Q139" s="7"/>
      <c r="R139" s="7" t="s">
        <v>332</v>
      </c>
      <c r="S139" s="7"/>
      <c r="T139" s="7" t="s">
        <v>595</v>
      </c>
      <c r="U139" s="7"/>
    </row>
    <row r="140" spans="1:21" x14ac:dyDescent="0.3">
      <c r="A140" s="7" t="s">
        <v>836</v>
      </c>
      <c r="B140" s="6" t="s">
        <v>206</v>
      </c>
      <c r="C140" s="6" t="s">
        <v>804</v>
      </c>
      <c r="D140" s="6" t="s">
        <v>475</v>
      </c>
      <c r="E140" s="6" t="s">
        <v>228</v>
      </c>
      <c r="F140" s="6">
        <v>12.13</v>
      </c>
      <c r="G140" s="27" t="s">
        <v>847</v>
      </c>
      <c r="H140" s="8" t="s">
        <v>888</v>
      </c>
      <c r="I140" s="6" t="s">
        <v>889</v>
      </c>
      <c r="J140" s="7" t="s">
        <v>40</v>
      </c>
      <c r="K140" s="7"/>
      <c r="L140" s="7"/>
      <c r="M140" s="7"/>
      <c r="N140" s="7"/>
      <c r="O140" s="7"/>
      <c r="P140" s="7"/>
      <c r="Q140" s="7"/>
      <c r="R140" s="7" t="s">
        <v>332</v>
      </c>
      <c r="S140" s="7"/>
      <c r="T140" s="7" t="s">
        <v>595</v>
      </c>
      <c r="U140" s="7"/>
    </row>
    <row r="141" spans="1:21" x14ac:dyDescent="0.3">
      <c r="A141" s="7" t="s">
        <v>837</v>
      </c>
      <c r="B141" s="6" t="s">
        <v>206</v>
      </c>
      <c r="C141" s="6" t="s">
        <v>805</v>
      </c>
      <c r="D141" s="6" t="s">
        <v>475</v>
      </c>
      <c r="E141" s="6" t="s">
        <v>228</v>
      </c>
      <c r="F141" s="6">
        <v>25.63</v>
      </c>
      <c r="G141" s="27" t="s">
        <v>847</v>
      </c>
      <c r="H141" s="8" t="s">
        <v>890</v>
      </c>
      <c r="I141" s="6" t="s">
        <v>891</v>
      </c>
      <c r="J141" s="7" t="s">
        <v>40</v>
      </c>
      <c r="K141" s="7"/>
      <c r="L141" s="7"/>
      <c r="M141" s="7"/>
      <c r="N141" s="7"/>
      <c r="O141" s="7"/>
      <c r="P141" s="7"/>
      <c r="Q141" s="7"/>
      <c r="R141" s="7" t="s">
        <v>332</v>
      </c>
      <c r="S141" s="7"/>
      <c r="T141" s="7" t="s">
        <v>595</v>
      </c>
      <c r="U141" s="7"/>
    </row>
    <row r="142" spans="1:21" x14ac:dyDescent="0.3">
      <c r="A142" s="7" t="s">
        <v>838</v>
      </c>
      <c r="B142" s="6" t="s">
        <v>206</v>
      </c>
      <c r="C142" s="6" t="s">
        <v>765</v>
      </c>
      <c r="D142" s="6" t="s">
        <v>475</v>
      </c>
      <c r="E142" s="6" t="s">
        <v>228</v>
      </c>
      <c r="F142" s="6">
        <v>208</v>
      </c>
      <c r="G142" s="27" t="s">
        <v>847</v>
      </c>
      <c r="H142" s="8" t="s">
        <v>892</v>
      </c>
      <c r="I142" s="6" t="s">
        <v>893</v>
      </c>
      <c r="J142" s="7" t="s">
        <v>40</v>
      </c>
      <c r="K142" s="7"/>
      <c r="L142" s="7"/>
      <c r="M142" s="7"/>
      <c r="N142" s="7"/>
      <c r="O142" s="7"/>
      <c r="P142" s="7"/>
      <c r="Q142" s="7"/>
      <c r="R142" s="7" t="s">
        <v>332</v>
      </c>
      <c r="S142" s="7"/>
      <c r="T142" s="7" t="s">
        <v>595</v>
      </c>
      <c r="U142" s="7"/>
    </row>
    <row r="143" spans="1:21" x14ac:dyDescent="0.3">
      <c r="A143" s="7" t="s">
        <v>839</v>
      </c>
      <c r="B143" s="6" t="s">
        <v>206</v>
      </c>
      <c r="C143" s="6" t="s">
        <v>806</v>
      </c>
      <c r="D143" s="6" t="s">
        <v>475</v>
      </c>
      <c r="E143" s="6" t="s">
        <v>228</v>
      </c>
      <c r="F143" s="6">
        <v>2192</v>
      </c>
      <c r="G143" s="27" t="s">
        <v>847</v>
      </c>
      <c r="H143" s="8" t="s">
        <v>894</v>
      </c>
      <c r="I143" s="6" t="s">
        <v>895</v>
      </c>
      <c r="J143" s="7" t="s">
        <v>40</v>
      </c>
      <c r="K143" s="7"/>
      <c r="L143" s="7"/>
      <c r="M143" s="7"/>
      <c r="N143" s="7"/>
      <c r="O143" s="7"/>
      <c r="P143" s="7"/>
      <c r="Q143" s="7"/>
      <c r="R143" s="7" t="s">
        <v>332</v>
      </c>
      <c r="S143" s="7"/>
      <c r="T143" s="7" t="s">
        <v>595</v>
      </c>
      <c r="U143" s="7"/>
    </row>
    <row r="144" spans="1:21" x14ac:dyDescent="0.3">
      <c r="A144" s="7" t="s">
        <v>840</v>
      </c>
      <c r="B144" s="6" t="s">
        <v>206</v>
      </c>
      <c r="C144" s="6" t="s">
        <v>807</v>
      </c>
      <c r="D144" s="6" t="s">
        <v>475</v>
      </c>
      <c r="E144" s="6" t="s">
        <v>228</v>
      </c>
      <c r="F144" s="6">
        <v>4560</v>
      </c>
      <c r="G144" s="27" t="s">
        <v>847</v>
      </c>
      <c r="H144" s="8" t="s">
        <v>896</v>
      </c>
      <c r="I144" s="6" t="s">
        <v>897</v>
      </c>
      <c r="J144" s="7" t="s">
        <v>40</v>
      </c>
      <c r="K144" s="7"/>
      <c r="L144" s="7"/>
      <c r="M144" s="7"/>
      <c r="N144" s="7"/>
      <c r="O144" s="7"/>
      <c r="P144" s="7"/>
      <c r="Q144" s="7"/>
      <c r="R144" s="7" t="s">
        <v>332</v>
      </c>
      <c r="S144" s="7"/>
      <c r="T144" s="7" t="s">
        <v>595</v>
      </c>
      <c r="U144" s="7"/>
    </row>
    <row r="145" spans="1:21" x14ac:dyDescent="0.3">
      <c r="A145" s="7" t="s">
        <v>841</v>
      </c>
      <c r="B145" s="6" t="s">
        <v>206</v>
      </c>
      <c r="C145" s="6" t="s">
        <v>808</v>
      </c>
      <c r="D145" s="6" t="s">
        <v>475</v>
      </c>
      <c r="E145" s="6" t="s">
        <v>228</v>
      </c>
      <c r="F145" s="6">
        <v>9488</v>
      </c>
      <c r="G145" s="27" t="s">
        <v>847</v>
      </c>
      <c r="H145" s="8" t="s">
        <v>898</v>
      </c>
      <c r="I145" s="6" t="s">
        <v>899</v>
      </c>
      <c r="J145" s="7" t="s">
        <v>40</v>
      </c>
      <c r="K145" s="7"/>
      <c r="L145" s="7"/>
      <c r="M145" s="7"/>
      <c r="N145" s="7"/>
      <c r="O145" s="7"/>
      <c r="P145" s="7"/>
      <c r="Q145" s="7"/>
      <c r="R145" s="7" t="s">
        <v>332</v>
      </c>
      <c r="S145" s="7"/>
      <c r="T145" s="7" t="s">
        <v>595</v>
      </c>
      <c r="U145" s="7"/>
    </row>
    <row r="146" spans="1:21" x14ac:dyDescent="0.3">
      <c r="A146" s="7" t="s">
        <v>842</v>
      </c>
      <c r="B146" s="6" t="s">
        <v>206</v>
      </c>
      <c r="C146" s="6" t="s">
        <v>809</v>
      </c>
      <c r="D146" s="6" t="s">
        <v>475</v>
      </c>
      <c r="E146" s="6" t="s">
        <v>228</v>
      </c>
      <c r="F146" s="6">
        <v>1104</v>
      </c>
      <c r="G146" s="27" t="s">
        <v>847</v>
      </c>
      <c r="H146" s="8" t="s">
        <v>900</v>
      </c>
      <c r="I146" s="6" t="s">
        <v>901</v>
      </c>
      <c r="J146" s="7" t="s">
        <v>40</v>
      </c>
      <c r="K146" s="7"/>
      <c r="L146" s="7"/>
      <c r="M146" s="7"/>
      <c r="N146" s="7"/>
      <c r="O146" s="7"/>
      <c r="P146" s="7"/>
      <c r="Q146" s="7"/>
      <c r="R146" s="7" t="s">
        <v>332</v>
      </c>
      <c r="S146" s="7"/>
      <c r="T146" s="7" t="s">
        <v>595</v>
      </c>
      <c r="U146" s="7"/>
    </row>
    <row r="147" spans="1:21" x14ac:dyDescent="0.3">
      <c r="A147" s="7" t="s">
        <v>843</v>
      </c>
      <c r="B147" s="6" t="s">
        <v>206</v>
      </c>
      <c r="C147" s="6" t="s">
        <v>810</v>
      </c>
      <c r="D147" s="6" t="s">
        <v>475</v>
      </c>
      <c r="E147" s="6" t="s">
        <v>228</v>
      </c>
      <c r="F147" s="6">
        <v>342.5</v>
      </c>
      <c r="G147" s="27" t="s">
        <v>847</v>
      </c>
      <c r="H147" s="8" t="s">
        <v>902</v>
      </c>
      <c r="I147" s="6" t="s">
        <v>903</v>
      </c>
      <c r="J147" s="7" t="s">
        <v>40</v>
      </c>
      <c r="K147" s="7"/>
      <c r="L147" s="7"/>
      <c r="M147" s="7"/>
      <c r="N147" s="7"/>
      <c r="O147" s="7"/>
      <c r="P147" s="7"/>
      <c r="Q147" s="7"/>
      <c r="R147" s="7" t="s">
        <v>332</v>
      </c>
      <c r="S147" s="7"/>
      <c r="T147" s="7" t="s">
        <v>595</v>
      </c>
      <c r="U147" s="7"/>
    </row>
    <row r="148" spans="1:21" x14ac:dyDescent="0.3">
      <c r="A148" s="7" t="s">
        <v>844</v>
      </c>
      <c r="B148" s="6" t="s">
        <v>206</v>
      </c>
      <c r="C148" s="6" t="s">
        <v>811</v>
      </c>
      <c r="D148" s="6" t="s">
        <v>475</v>
      </c>
      <c r="E148" s="6" t="s">
        <v>228</v>
      </c>
      <c r="F148" s="6">
        <v>16</v>
      </c>
      <c r="G148" s="27" t="s">
        <v>847</v>
      </c>
      <c r="H148" s="8" t="s">
        <v>904</v>
      </c>
      <c r="I148" s="6" t="s">
        <v>905</v>
      </c>
      <c r="J148" s="7" t="s">
        <v>40</v>
      </c>
      <c r="K148" s="7"/>
      <c r="L148" s="7"/>
      <c r="M148" s="7"/>
      <c r="N148" s="7"/>
      <c r="O148" s="7"/>
      <c r="P148" s="7"/>
      <c r="Q148" s="7"/>
      <c r="R148" s="7" t="s">
        <v>332</v>
      </c>
      <c r="S148" s="7"/>
      <c r="T148" s="7" t="s">
        <v>595</v>
      </c>
      <c r="U148" s="7"/>
    </row>
    <row r="149" spans="1:21" x14ac:dyDescent="0.3">
      <c r="A149" s="7" t="s">
        <v>845</v>
      </c>
      <c r="B149" s="6" t="s">
        <v>206</v>
      </c>
      <c r="C149" s="6" t="s">
        <v>812</v>
      </c>
      <c r="D149" s="6" t="s">
        <v>475</v>
      </c>
      <c r="E149" s="6" t="s">
        <v>228</v>
      </c>
      <c r="F149" s="6">
        <v>662.13</v>
      </c>
      <c r="G149" s="27" t="s">
        <v>847</v>
      </c>
      <c r="H149" s="8" t="s">
        <v>906</v>
      </c>
      <c r="I149" s="6" t="s">
        <v>907</v>
      </c>
      <c r="J149" s="7" t="s">
        <v>40</v>
      </c>
      <c r="K149" s="7"/>
      <c r="L149" s="7"/>
      <c r="M149" s="7"/>
      <c r="N149" s="7"/>
      <c r="O149" s="7"/>
      <c r="P149" s="7"/>
      <c r="Q149" s="7"/>
      <c r="R149" s="7" t="s">
        <v>332</v>
      </c>
      <c r="S149" s="7"/>
      <c r="T149" s="7" t="s">
        <v>595</v>
      </c>
      <c r="U149" s="7"/>
    </row>
    <row r="150" spans="1:21" x14ac:dyDescent="0.3">
      <c r="A150" s="7" t="s">
        <v>846</v>
      </c>
      <c r="B150" s="6" t="s">
        <v>206</v>
      </c>
      <c r="C150" s="6" t="s">
        <v>483</v>
      </c>
      <c r="D150" s="6" t="s">
        <v>475</v>
      </c>
      <c r="E150" s="6" t="s">
        <v>228</v>
      </c>
      <c r="F150" s="6">
        <v>528</v>
      </c>
      <c r="G150" s="27" t="s">
        <v>524</v>
      </c>
      <c r="H150" s="8" t="s">
        <v>908</v>
      </c>
      <c r="I150" s="6" t="s">
        <v>909</v>
      </c>
      <c r="J150" s="7" t="s">
        <v>40</v>
      </c>
      <c r="K150" s="7"/>
      <c r="L150" s="7"/>
      <c r="M150" s="7"/>
      <c r="N150" s="7"/>
      <c r="O150" s="7"/>
      <c r="P150" s="7"/>
      <c r="Q150" s="7"/>
      <c r="R150" s="7" t="s">
        <v>332</v>
      </c>
      <c r="S150" s="7"/>
      <c r="T150" s="7" t="s">
        <v>595</v>
      </c>
      <c r="U150" s="7"/>
    </row>
    <row r="151" spans="1:21" x14ac:dyDescent="0.3">
      <c r="A151" s="7" t="s">
        <v>942</v>
      </c>
      <c r="B151" s="6" t="s">
        <v>206</v>
      </c>
      <c r="C151" s="6" t="s">
        <v>485</v>
      </c>
      <c r="D151" s="6" t="s">
        <v>475</v>
      </c>
      <c r="E151" s="6" t="s">
        <v>228</v>
      </c>
      <c r="F151" s="6">
        <v>272</v>
      </c>
      <c r="G151" s="27" t="s">
        <v>524</v>
      </c>
      <c r="H151" s="8" t="s">
        <v>910</v>
      </c>
      <c r="I151" s="6" t="s">
        <v>911</v>
      </c>
      <c r="J151" s="7" t="s">
        <v>40</v>
      </c>
      <c r="K151" s="7"/>
      <c r="L151" s="7"/>
      <c r="M151" s="7"/>
      <c r="N151" s="7"/>
      <c r="O151" s="7"/>
      <c r="P151" s="7"/>
      <c r="Q151" s="7"/>
      <c r="R151" s="7" t="s">
        <v>332</v>
      </c>
      <c r="S151" s="7"/>
      <c r="T151" s="7" t="s">
        <v>595</v>
      </c>
      <c r="U151" s="7"/>
    </row>
    <row r="152" spans="1:21" x14ac:dyDescent="0.3">
      <c r="A152" s="7" t="s">
        <v>489</v>
      </c>
      <c r="B152" s="6" t="s">
        <v>447</v>
      </c>
      <c r="C152" s="6" t="s">
        <v>487</v>
      </c>
      <c r="D152" s="6" t="s">
        <v>488</v>
      </c>
      <c r="E152" s="6" t="s">
        <v>228</v>
      </c>
      <c r="F152" s="6">
        <v>551382.93999999994</v>
      </c>
      <c r="G152" s="27" t="s">
        <v>558</v>
      </c>
      <c r="H152" s="8" t="s">
        <v>556</v>
      </c>
      <c r="I152" s="6" t="s">
        <v>557</v>
      </c>
      <c r="J152" s="7" t="s">
        <v>9</v>
      </c>
      <c r="K152" s="7"/>
      <c r="L152" s="7"/>
      <c r="M152" s="7" t="s">
        <v>970</v>
      </c>
      <c r="N152" s="7"/>
      <c r="O152" s="7"/>
      <c r="P152" s="7"/>
      <c r="Q152" s="7"/>
      <c r="R152" s="7" t="s">
        <v>332</v>
      </c>
      <c r="S152" s="7"/>
      <c r="T152" s="7" t="s">
        <v>594</v>
      </c>
      <c r="U152" s="7" t="s">
        <v>499</v>
      </c>
    </row>
    <row r="153" spans="1:21" x14ac:dyDescent="0.3">
      <c r="A153" s="7" t="s">
        <v>491</v>
      </c>
      <c r="B153" s="6" t="s">
        <v>447</v>
      </c>
      <c r="C153" s="6" t="s">
        <v>490</v>
      </c>
      <c r="D153" s="6" t="s">
        <v>488</v>
      </c>
      <c r="E153" s="6" t="s">
        <v>228</v>
      </c>
      <c r="F153" s="6">
        <v>336</v>
      </c>
      <c r="G153" s="27" t="s">
        <v>558</v>
      </c>
      <c r="H153" s="8" t="s">
        <v>559</v>
      </c>
      <c r="I153" s="6" t="s">
        <v>560</v>
      </c>
      <c r="J153" s="7" t="s">
        <v>9</v>
      </c>
      <c r="K153" s="7"/>
      <c r="L153" s="7"/>
      <c r="M153" s="7" t="s">
        <v>970</v>
      </c>
      <c r="N153" s="7"/>
      <c r="O153" s="7"/>
      <c r="P153" s="7"/>
      <c r="Q153" s="7"/>
      <c r="R153" s="7" t="s">
        <v>332</v>
      </c>
      <c r="S153" s="7"/>
      <c r="T153" s="7" t="s">
        <v>594</v>
      </c>
      <c r="U153" s="7" t="s">
        <v>499</v>
      </c>
    </row>
    <row r="154" spans="1:21" x14ac:dyDescent="0.3">
      <c r="A154" s="7" t="s">
        <v>493</v>
      </c>
      <c r="B154" s="6" t="s">
        <v>447</v>
      </c>
      <c r="C154" s="6" t="s">
        <v>492</v>
      </c>
      <c r="D154" s="6" t="s">
        <v>488</v>
      </c>
      <c r="E154" s="6" t="s">
        <v>228</v>
      </c>
      <c r="F154" s="6">
        <v>108624</v>
      </c>
      <c r="G154" s="27" t="s">
        <v>558</v>
      </c>
      <c r="H154" s="8" t="s">
        <v>561</v>
      </c>
      <c r="I154" s="6" t="s">
        <v>562</v>
      </c>
      <c r="J154" s="7" t="s">
        <v>9</v>
      </c>
      <c r="K154" s="7"/>
      <c r="L154" s="7"/>
      <c r="M154" s="7" t="s">
        <v>970</v>
      </c>
      <c r="N154" s="7"/>
      <c r="O154" s="7"/>
      <c r="P154" s="7"/>
      <c r="Q154" s="7"/>
      <c r="R154" s="7" t="s">
        <v>332</v>
      </c>
      <c r="S154" s="7"/>
      <c r="T154" s="7" t="s">
        <v>594</v>
      </c>
      <c r="U154" s="7" t="s">
        <v>499</v>
      </c>
    </row>
    <row r="155" spans="1:21" x14ac:dyDescent="0.3">
      <c r="A155" s="7" t="s">
        <v>495</v>
      </c>
      <c r="B155" s="6" t="s">
        <v>447</v>
      </c>
      <c r="C155" s="6" t="s">
        <v>494</v>
      </c>
      <c r="D155" s="6" t="s">
        <v>488</v>
      </c>
      <c r="E155" s="6" t="s">
        <v>228</v>
      </c>
      <c r="F155" s="6">
        <v>189328</v>
      </c>
      <c r="G155" s="27" t="s">
        <v>558</v>
      </c>
      <c r="H155" s="8" t="s">
        <v>563</v>
      </c>
      <c r="I155" s="6" t="s">
        <v>564</v>
      </c>
      <c r="J155" s="7" t="s">
        <v>9</v>
      </c>
      <c r="K155" s="7"/>
      <c r="L155" s="7"/>
      <c r="M155" s="7" t="s">
        <v>970</v>
      </c>
      <c r="N155" s="7"/>
      <c r="O155" s="7"/>
      <c r="P155" s="7"/>
      <c r="Q155" s="7"/>
      <c r="R155" s="7" t="s">
        <v>332</v>
      </c>
      <c r="S155" s="7"/>
      <c r="T155" s="7" t="s">
        <v>594</v>
      </c>
      <c r="U155" s="7" t="s">
        <v>499</v>
      </c>
    </row>
    <row r="156" spans="1:21" x14ac:dyDescent="0.3">
      <c r="A156" s="7" t="s">
        <v>497</v>
      </c>
      <c r="B156" s="6" t="s">
        <v>447</v>
      </c>
      <c r="C156" s="6" t="s">
        <v>496</v>
      </c>
      <c r="D156" s="6" t="s">
        <v>488</v>
      </c>
      <c r="E156" s="6" t="s">
        <v>228</v>
      </c>
      <c r="F156" s="6" t="s">
        <v>592</v>
      </c>
      <c r="G156" s="27" t="s">
        <v>592</v>
      </c>
      <c r="H156" s="8" t="s">
        <v>592</v>
      </c>
      <c r="I156" s="6" t="s">
        <v>592</v>
      </c>
      <c r="J156" s="7" t="s">
        <v>32</v>
      </c>
      <c r="K156" s="7"/>
      <c r="L156" s="7"/>
      <c r="M156" s="7" t="s">
        <v>970</v>
      </c>
      <c r="N156" s="7"/>
      <c r="O156" s="7"/>
      <c r="P156" s="7"/>
      <c r="Q156" s="7"/>
      <c r="R156" s="7" t="s">
        <v>332</v>
      </c>
      <c r="S156" s="7"/>
      <c r="T156" s="7" t="s">
        <v>594</v>
      </c>
      <c r="U156" s="7" t="s">
        <v>499</v>
      </c>
    </row>
    <row r="157" spans="1:21" x14ac:dyDescent="0.3">
      <c r="A157" s="7" t="s">
        <v>593</v>
      </c>
      <c r="B157" s="6" t="s">
        <v>447</v>
      </c>
      <c r="C157" s="6" t="s">
        <v>498</v>
      </c>
      <c r="D157" s="6" t="s">
        <v>488</v>
      </c>
      <c r="E157" s="6" t="s">
        <v>228</v>
      </c>
      <c r="F157" s="6">
        <v>833384</v>
      </c>
      <c r="G157" s="27" t="s">
        <v>558</v>
      </c>
      <c r="H157" s="8" t="s">
        <v>565</v>
      </c>
      <c r="I157" s="6" t="s">
        <v>566</v>
      </c>
      <c r="J157" s="7" t="s">
        <v>9</v>
      </c>
      <c r="K157" s="7"/>
      <c r="L157" s="7"/>
      <c r="M157" s="7" t="s">
        <v>970</v>
      </c>
      <c r="N157" s="7"/>
      <c r="O157" s="7"/>
      <c r="P157" s="7"/>
      <c r="Q157" s="7"/>
      <c r="R157" s="7" t="s">
        <v>332</v>
      </c>
      <c r="S157" s="7"/>
      <c r="T157" s="7" t="s">
        <v>594</v>
      </c>
      <c r="U157" s="7" t="s">
        <v>499</v>
      </c>
    </row>
    <row r="158" spans="1:21" x14ac:dyDescent="0.3">
      <c r="A158" s="7" t="s">
        <v>776</v>
      </c>
      <c r="B158" s="6" t="s">
        <v>757</v>
      </c>
      <c r="C158" s="6" t="s">
        <v>758</v>
      </c>
      <c r="D158" s="6" t="s">
        <v>475</v>
      </c>
      <c r="E158" s="6" t="s">
        <v>228</v>
      </c>
      <c r="F158" s="6">
        <v>1408</v>
      </c>
      <c r="G158" s="27" t="s">
        <v>760</v>
      </c>
      <c r="H158" s="8" t="s">
        <v>761</v>
      </c>
      <c r="I158" s="6" t="s">
        <v>762</v>
      </c>
      <c r="J158" s="7" t="s">
        <v>40</v>
      </c>
      <c r="K158" s="7"/>
      <c r="L158" s="7"/>
      <c r="M158" s="7"/>
      <c r="N158" s="7"/>
      <c r="O158" s="7"/>
      <c r="P158" s="7"/>
      <c r="Q158" s="7"/>
      <c r="R158" s="7" t="s">
        <v>332</v>
      </c>
      <c r="S158" s="7"/>
      <c r="T158" s="7" t="s">
        <v>595</v>
      </c>
      <c r="U158" s="7"/>
    </row>
    <row r="159" spans="1:21" x14ac:dyDescent="0.3">
      <c r="A159" s="7" t="s">
        <v>787</v>
      </c>
      <c r="B159" s="6" t="s">
        <v>780</v>
      </c>
      <c r="C159" s="6" t="s">
        <v>783</v>
      </c>
      <c r="D159" s="6" t="s">
        <v>475</v>
      </c>
      <c r="E159" s="6" t="s">
        <v>228</v>
      </c>
      <c r="F159" s="6">
        <v>68789.69</v>
      </c>
      <c r="G159" s="27" t="s">
        <v>784</v>
      </c>
      <c r="H159" s="8" t="s">
        <v>785</v>
      </c>
      <c r="I159" s="6" t="s">
        <v>786</v>
      </c>
      <c r="J159" s="7" t="s">
        <v>40</v>
      </c>
      <c r="K159" s="7"/>
      <c r="L159" s="7"/>
      <c r="M159" s="7"/>
      <c r="N159" s="7"/>
      <c r="O159" s="7"/>
      <c r="P159" s="7"/>
      <c r="Q159" s="7"/>
      <c r="R159" s="7" t="s">
        <v>332</v>
      </c>
      <c r="S159" s="7"/>
      <c r="T159" s="7" t="s">
        <v>595</v>
      </c>
      <c r="U159" s="7"/>
    </row>
    <row r="160" spans="1:21" x14ac:dyDescent="0.3">
      <c r="A160" s="7" t="s">
        <v>944</v>
      </c>
      <c r="B160" s="6" t="s">
        <v>940</v>
      </c>
      <c r="C160" s="6" t="s">
        <v>487</v>
      </c>
      <c r="D160" s="6" t="s">
        <v>488</v>
      </c>
      <c r="E160" s="6" t="s">
        <v>228</v>
      </c>
      <c r="F160" s="6">
        <v>173712</v>
      </c>
      <c r="G160" s="27" t="s">
        <v>915</v>
      </c>
      <c r="H160" s="8" t="s">
        <v>949</v>
      </c>
      <c r="I160" s="6" t="s">
        <v>950</v>
      </c>
      <c r="J160" s="7" t="s">
        <v>32</v>
      </c>
      <c r="K160" s="7"/>
      <c r="L160" s="7"/>
      <c r="M160" s="7" t="s">
        <v>970</v>
      </c>
      <c r="N160" s="7"/>
      <c r="O160" s="7"/>
      <c r="P160" s="7"/>
      <c r="Q160" s="7"/>
      <c r="R160" s="7" t="s">
        <v>332</v>
      </c>
      <c r="S160" s="7"/>
      <c r="T160" s="7" t="s">
        <v>595</v>
      </c>
      <c r="U160" s="7"/>
    </row>
    <row r="161" spans="1:21" x14ac:dyDescent="0.3">
      <c r="A161" s="7" t="s">
        <v>945</v>
      </c>
      <c r="B161" s="6" t="s">
        <v>940</v>
      </c>
      <c r="C161" s="6" t="s">
        <v>490</v>
      </c>
      <c r="D161" s="6" t="s">
        <v>488</v>
      </c>
      <c r="E161" s="6" t="s">
        <v>228</v>
      </c>
      <c r="F161" s="6">
        <v>400</v>
      </c>
      <c r="G161" s="27" t="s">
        <v>915</v>
      </c>
      <c r="H161" s="8" t="s">
        <v>951</v>
      </c>
      <c r="I161" s="6" t="s">
        <v>952</v>
      </c>
      <c r="J161" s="7" t="s">
        <v>32</v>
      </c>
      <c r="K161" s="7"/>
      <c r="L161" s="7"/>
      <c r="M161" s="7" t="s">
        <v>970</v>
      </c>
      <c r="N161" s="7"/>
      <c r="O161" s="7"/>
      <c r="P161" s="7"/>
      <c r="Q161" s="7"/>
      <c r="R161" s="7" t="s">
        <v>332</v>
      </c>
      <c r="S161" s="7"/>
      <c r="T161" s="7" t="s">
        <v>595</v>
      </c>
      <c r="U161" s="7"/>
    </row>
    <row r="162" spans="1:21" x14ac:dyDescent="0.3">
      <c r="A162" s="7" t="s">
        <v>943</v>
      </c>
      <c r="B162" s="6" t="s">
        <v>940</v>
      </c>
      <c r="C162" s="6" t="s">
        <v>492</v>
      </c>
      <c r="D162" s="6" t="s">
        <v>488</v>
      </c>
      <c r="E162" s="6" t="s">
        <v>228</v>
      </c>
      <c r="F162" s="6">
        <v>25552</v>
      </c>
      <c r="G162" s="27" t="s">
        <v>915</v>
      </c>
      <c r="H162" s="8" t="s">
        <v>947</v>
      </c>
      <c r="I162" s="6" t="s">
        <v>948</v>
      </c>
      <c r="J162" s="7" t="s">
        <v>32</v>
      </c>
      <c r="K162" s="7"/>
      <c r="L162" s="7"/>
      <c r="M162" s="7" t="s">
        <v>970</v>
      </c>
      <c r="N162" s="7"/>
      <c r="O162" s="7"/>
      <c r="P162" s="7"/>
      <c r="Q162" s="7"/>
      <c r="R162" s="7" t="s">
        <v>332</v>
      </c>
      <c r="S162" s="7"/>
      <c r="T162" s="7" t="s">
        <v>595</v>
      </c>
      <c r="U162" s="7"/>
    </row>
    <row r="163" spans="1:21" x14ac:dyDescent="0.3">
      <c r="A163" s="7" t="s">
        <v>946</v>
      </c>
      <c r="B163" s="6" t="s">
        <v>940</v>
      </c>
      <c r="C163" s="6" t="s">
        <v>494</v>
      </c>
      <c r="D163" s="6" t="s">
        <v>488</v>
      </c>
      <c r="E163" s="6" t="s">
        <v>228</v>
      </c>
      <c r="F163" s="6">
        <v>387792</v>
      </c>
      <c r="G163" s="27" t="s">
        <v>915</v>
      </c>
      <c r="H163" s="8" t="s">
        <v>953</v>
      </c>
      <c r="I163" s="6" t="s">
        <v>954</v>
      </c>
      <c r="J163" s="7" t="s">
        <v>32</v>
      </c>
      <c r="K163" s="7"/>
      <c r="L163" s="7"/>
      <c r="M163" s="7" t="s">
        <v>970</v>
      </c>
      <c r="N163" s="7"/>
      <c r="O163" s="7"/>
      <c r="P163" s="7"/>
      <c r="Q163" s="7"/>
      <c r="R163" s="7" t="s">
        <v>332</v>
      </c>
      <c r="S163" s="7"/>
      <c r="T163" s="7" t="s">
        <v>595</v>
      </c>
      <c r="U163" s="7"/>
    </row>
    <row r="164" spans="1:21" x14ac:dyDescent="0.3">
      <c r="A164" s="7" t="s">
        <v>960</v>
      </c>
      <c r="B164" s="6" t="s">
        <v>940</v>
      </c>
      <c r="C164" s="6" t="s">
        <v>498</v>
      </c>
      <c r="D164" s="6" t="s">
        <v>488</v>
      </c>
      <c r="E164" s="6" t="s">
        <v>228</v>
      </c>
      <c r="F164" s="6">
        <v>107389.25</v>
      </c>
      <c r="G164" s="27" t="s">
        <v>915</v>
      </c>
      <c r="H164" s="8" t="s">
        <v>955</v>
      </c>
      <c r="I164" s="6" t="s">
        <v>956</v>
      </c>
      <c r="J164" s="7" t="s">
        <v>32</v>
      </c>
      <c r="K164" s="7"/>
      <c r="L164" s="7"/>
      <c r="M164" s="7" t="s">
        <v>970</v>
      </c>
      <c r="N164" s="7"/>
      <c r="O164" s="7"/>
      <c r="P164" s="7"/>
      <c r="Q164" s="7"/>
      <c r="R164" s="7" t="s">
        <v>332</v>
      </c>
      <c r="S164" s="7"/>
      <c r="T164" s="7" t="s">
        <v>595</v>
      </c>
      <c r="U164" s="7"/>
    </row>
    <row r="165" spans="1:21" x14ac:dyDescent="0.3">
      <c r="A165" s="7" t="s">
        <v>963</v>
      </c>
      <c r="B165" s="6" t="s">
        <v>957</v>
      </c>
      <c r="C165" t="s">
        <v>919</v>
      </c>
      <c r="D165" s="6" t="s">
        <v>488</v>
      </c>
      <c r="E165" s="6" t="s">
        <v>228</v>
      </c>
      <c r="F165">
        <v>208</v>
      </c>
      <c r="G165" s="28">
        <v>46000.889050925929</v>
      </c>
      <c r="H165" t="s">
        <v>920</v>
      </c>
      <c r="I165" t="s">
        <v>921</v>
      </c>
      <c r="J165" s="7" t="s">
        <v>32</v>
      </c>
      <c r="K165" s="7"/>
      <c r="L165" s="7"/>
      <c r="M165" s="7" t="s">
        <v>969</v>
      </c>
      <c r="N165" s="7"/>
      <c r="O165" s="7"/>
      <c r="P165" s="7"/>
      <c r="Q165" s="7"/>
      <c r="R165" s="7" t="s">
        <v>332</v>
      </c>
      <c r="S165" s="7"/>
      <c r="T165" s="7" t="s">
        <v>594</v>
      </c>
      <c r="U165" s="7"/>
    </row>
    <row r="166" spans="1:21" x14ac:dyDescent="0.3">
      <c r="A166" s="7" t="s">
        <v>964</v>
      </c>
      <c r="B166" s="6" t="s">
        <v>957</v>
      </c>
      <c r="C166" t="s">
        <v>922</v>
      </c>
      <c r="D166" s="6" t="s">
        <v>488</v>
      </c>
      <c r="E166" s="6" t="s">
        <v>228</v>
      </c>
      <c r="F166">
        <v>80</v>
      </c>
      <c r="G166" s="28" t="s">
        <v>915</v>
      </c>
      <c r="H166" t="s">
        <v>923</v>
      </c>
      <c r="I166" t="s">
        <v>924</v>
      </c>
      <c r="J166" s="7" t="s">
        <v>32</v>
      </c>
      <c r="K166" s="7"/>
      <c r="L166" s="7"/>
      <c r="M166" s="7" t="s">
        <v>969</v>
      </c>
      <c r="N166" s="7"/>
      <c r="O166" s="7"/>
      <c r="P166" s="7"/>
      <c r="Q166" s="7"/>
      <c r="R166" s="7" t="s">
        <v>332</v>
      </c>
      <c r="S166" s="7"/>
      <c r="T166" s="7" t="s">
        <v>594</v>
      </c>
      <c r="U166" s="7"/>
    </row>
    <row r="167" spans="1:21" x14ac:dyDescent="0.3">
      <c r="A167" s="7" t="s">
        <v>962</v>
      </c>
      <c r="B167" s="6" t="s">
        <v>957</v>
      </c>
      <c r="C167" t="s">
        <v>916</v>
      </c>
      <c r="D167" s="6" t="s">
        <v>488</v>
      </c>
      <c r="E167" s="6" t="s">
        <v>228</v>
      </c>
      <c r="F167">
        <v>96</v>
      </c>
      <c r="G167" s="28">
        <v>45751.804490740738</v>
      </c>
      <c r="H167" t="s">
        <v>917</v>
      </c>
      <c r="I167" t="s">
        <v>918</v>
      </c>
      <c r="J167" s="7" t="s">
        <v>32</v>
      </c>
      <c r="K167" s="7"/>
      <c r="L167" s="7"/>
      <c r="M167" s="7" t="s">
        <v>969</v>
      </c>
      <c r="N167" s="7"/>
      <c r="O167" s="7"/>
      <c r="P167" s="7"/>
      <c r="Q167" s="7"/>
      <c r="R167" s="7" t="s">
        <v>332</v>
      </c>
      <c r="S167" s="7"/>
      <c r="T167" s="7" t="s">
        <v>594</v>
      </c>
      <c r="U167" s="7"/>
    </row>
    <row r="168" spans="1:21" x14ac:dyDescent="0.3">
      <c r="A168" s="7" t="s">
        <v>968</v>
      </c>
      <c r="B168" s="6" t="s">
        <v>957</v>
      </c>
      <c r="C168" t="s">
        <v>934</v>
      </c>
      <c r="D168" s="6" t="s">
        <v>488</v>
      </c>
      <c r="E168" s="6" t="s">
        <v>228</v>
      </c>
      <c r="F168">
        <v>16</v>
      </c>
      <c r="G168" s="28" t="s">
        <v>915</v>
      </c>
      <c r="H168" t="s">
        <v>935</v>
      </c>
      <c r="I168" t="s">
        <v>936</v>
      </c>
      <c r="J168" s="7" t="s">
        <v>32</v>
      </c>
      <c r="K168" s="7"/>
      <c r="L168" s="7"/>
      <c r="M168" s="7" t="s">
        <v>969</v>
      </c>
      <c r="N168" s="7"/>
      <c r="O168" s="7"/>
      <c r="P168" s="7"/>
      <c r="Q168" s="7"/>
      <c r="R168" s="7" t="s">
        <v>332</v>
      </c>
      <c r="S168" s="7"/>
      <c r="T168" s="7" t="s">
        <v>594</v>
      </c>
      <c r="U168" s="7"/>
    </row>
    <row r="169" spans="1:21" x14ac:dyDescent="0.3">
      <c r="A169" s="7" t="s">
        <v>974</v>
      </c>
      <c r="B169" s="6" t="s">
        <v>957</v>
      </c>
      <c r="C169" t="s">
        <v>937</v>
      </c>
      <c r="D169" s="6" t="s">
        <v>488</v>
      </c>
      <c r="E169" s="6" t="s">
        <v>228</v>
      </c>
      <c r="F169">
        <v>80</v>
      </c>
      <c r="G169" s="28" t="s">
        <v>915</v>
      </c>
      <c r="H169" t="s">
        <v>938</v>
      </c>
      <c r="I169" t="s">
        <v>939</v>
      </c>
      <c r="J169" s="7" t="s">
        <v>32</v>
      </c>
      <c r="K169" s="7"/>
      <c r="L169" s="7"/>
      <c r="M169" s="7" t="s">
        <v>969</v>
      </c>
      <c r="N169" s="7"/>
      <c r="O169" s="7"/>
      <c r="P169" s="7"/>
      <c r="Q169" s="7"/>
      <c r="R169" s="7" t="s">
        <v>332</v>
      </c>
      <c r="S169" s="7"/>
      <c r="T169" s="7" t="s">
        <v>594</v>
      </c>
      <c r="U169" s="7"/>
    </row>
    <row r="170" spans="1:21" x14ac:dyDescent="0.3">
      <c r="A170" s="7" t="s">
        <v>1071</v>
      </c>
      <c r="B170" s="6" t="s">
        <v>957</v>
      </c>
      <c r="C170" t="s">
        <v>1072</v>
      </c>
      <c r="D170" s="6" t="s">
        <v>488</v>
      </c>
      <c r="E170" s="6" t="s">
        <v>228</v>
      </c>
      <c r="F170">
        <v>16</v>
      </c>
      <c r="G170" s="47" t="s">
        <v>915</v>
      </c>
      <c r="H170" t="s">
        <v>1073</v>
      </c>
      <c r="I170" t="s">
        <v>1074</v>
      </c>
      <c r="J170" s="7" t="s">
        <v>32</v>
      </c>
      <c r="K170" s="7"/>
      <c r="L170" s="7"/>
      <c r="M170" s="7" t="s">
        <v>969</v>
      </c>
      <c r="N170" s="7"/>
      <c r="O170" s="7"/>
      <c r="P170" s="7"/>
      <c r="Q170" s="7"/>
      <c r="R170" s="7" t="s">
        <v>332</v>
      </c>
      <c r="S170" s="7"/>
      <c r="T170" s="7" t="s">
        <v>594</v>
      </c>
      <c r="U170" s="7"/>
    </row>
    <row r="171" spans="1:21" x14ac:dyDescent="0.3">
      <c r="A171" s="7" t="s">
        <v>967</v>
      </c>
      <c r="B171" s="6" t="s">
        <v>957</v>
      </c>
      <c r="C171" t="s">
        <v>931</v>
      </c>
      <c r="D171" s="6" t="s">
        <v>488</v>
      </c>
      <c r="E171" s="6" t="s">
        <v>228</v>
      </c>
      <c r="F171">
        <v>456</v>
      </c>
      <c r="G171" s="28" t="s">
        <v>915</v>
      </c>
      <c r="H171" t="s">
        <v>932</v>
      </c>
      <c r="I171" t="s">
        <v>933</v>
      </c>
      <c r="J171" s="7" t="s">
        <v>32</v>
      </c>
      <c r="K171" s="7"/>
      <c r="L171" s="7"/>
      <c r="M171" s="7" t="s">
        <v>969</v>
      </c>
      <c r="N171" s="7"/>
      <c r="O171" s="7"/>
      <c r="P171" s="7"/>
      <c r="Q171" s="7"/>
      <c r="R171" s="7" t="s">
        <v>332</v>
      </c>
      <c r="S171" s="7"/>
      <c r="T171" s="7" t="s">
        <v>594</v>
      </c>
      <c r="U171" s="7"/>
    </row>
    <row r="172" spans="1:21" x14ac:dyDescent="0.3">
      <c r="A172" s="7" t="s">
        <v>961</v>
      </c>
      <c r="B172" s="6" t="s">
        <v>957</v>
      </c>
      <c r="C172" t="s">
        <v>912</v>
      </c>
      <c r="D172" s="6" t="s">
        <v>488</v>
      </c>
      <c r="E172" s="6" t="s">
        <v>228</v>
      </c>
      <c r="F172">
        <v>12.19</v>
      </c>
      <c r="G172" s="28" t="s">
        <v>915</v>
      </c>
      <c r="H172" t="s">
        <v>913</v>
      </c>
      <c r="I172" t="s">
        <v>914</v>
      </c>
      <c r="J172" s="7" t="s">
        <v>32</v>
      </c>
      <c r="K172" s="7"/>
      <c r="L172" s="7"/>
      <c r="M172" s="7" t="s">
        <v>969</v>
      </c>
      <c r="N172" s="7"/>
      <c r="O172" s="7"/>
      <c r="P172" s="7"/>
      <c r="Q172" s="7"/>
      <c r="R172" s="7" t="s">
        <v>332</v>
      </c>
      <c r="S172" s="7"/>
      <c r="T172" s="7" t="s">
        <v>594</v>
      </c>
      <c r="U172" s="7"/>
    </row>
    <row r="173" spans="1:21" x14ac:dyDescent="0.3">
      <c r="A173" s="7" t="s">
        <v>965</v>
      </c>
      <c r="B173" s="6" t="s">
        <v>957</v>
      </c>
      <c r="C173" t="s">
        <v>925</v>
      </c>
      <c r="D173" s="6" t="s">
        <v>488</v>
      </c>
      <c r="E173" s="6" t="s">
        <v>228</v>
      </c>
      <c r="F173">
        <v>1872</v>
      </c>
      <c r="G173" s="28">
        <v>46133.862581018519</v>
      </c>
      <c r="H173" t="s">
        <v>926</v>
      </c>
      <c r="I173" t="s">
        <v>927</v>
      </c>
      <c r="J173" s="7" t="s">
        <v>32</v>
      </c>
      <c r="K173" s="7"/>
      <c r="L173" s="7"/>
      <c r="M173" s="7" t="s">
        <v>969</v>
      </c>
      <c r="N173" s="7"/>
      <c r="O173" s="7"/>
      <c r="P173" s="7"/>
      <c r="Q173" s="7"/>
      <c r="R173" s="7" t="s">
        <v>332</v>
      </c>
      <c r="S173" s="7"/>
      <c r="T173" s="7" t="s">
        <v>594</v>
      </c>
      <c r="U173" s="7"/>
    </row>
    <row r="174" spans="1:21" x14ac:dyDescent="0.3">
      <c r="A174" s="7" t="s">
        <v>966</v>
      </c>
      <c r="B174" s="6" t="s">
        <v>957</v>
      </c>
      <c r="C174" t="s">
        <v>928</v>
      </c>
      <c r="D174" s="6" t="s">
        <v>488</v>
      </c>
      <c r="E174" s="6" t="s">
        <v>228</v>
      </c>
      <c r="F174">
        <v>6608</v>
      </c>
      <c r="G174" s="28">
        <v>45764.771423611113</v>
      </c>
      <c r="H174" t="s">
        <v>929</v>
      </c>
      <c r="I174" t="s">
        <v>930</v>
      </c>
      <c r="J174" s="7" t="s">
        <v>32</v>
      </c>
      <c r="K174" s="7"/>
      <c r="L174" s="7"/>
      <c r="M174" s="7" t="s">
        <v>969</v>
      </c>
      <c r="N174" s="7"/>
      <c r="O174" s="7"/>
      <c r="P174" s="7"/>
      <c r="Q174" s="7"/>
      <c r="R174" s="7" t="s">
        <v>332</v>
      </c>
      <c r="S174" s="7"/>
      <c r="T174" s="7" t="s">
        <v>594</v>
      </c>
      <c r="U174" s="7"/>
    </row>
    <row r="175" spans="1:21" x14ac:dyDescent="0.3">
      <c r="A175" s="7" t="s">
        <v>1085</v>
      </c>
      <c r="B175" t="s">
        <v>1089</v>
      </c>
      <c r="C175" t="s">
        <v>1075</v>
      </c>
      <c r="D175" t="s">
        <v>1076</v>
      </c>
      <c r="E175" t="s">
        <v>228</v>
      </c>
      <c r="F175">
        <v>336</v>
      </c>
      <c r="G175" s="47" t="s">
        <v>915</v>
      </c>
      <c r="H175" t="s">
        <v>1077</v>
      </c>
      <c r="I175" t="s">
        <v>1078</v>
      </c>
      <c r="J175" s="7" t="s">
        <v>32</v>
      </c>
      <c r="K175" s="7"/>
      <c r="L175" s="7"/>
      <c r="M175" s="7" t="s">
        <v>969</v>
      </c>
      <c r="N175" s="7"/>
      <c r="O175" s="7"/>
      <c r="P175" s="7"/>
      <c r="Q175" s="7"/>
      <c r="R175" s="7" t="s">
        <v>332</v>
      </c>
      <c r="S175" s="7"/>
      <c r="T175" s="7" t="s">
        <v>594</v>
      </c>
      <c r="U175" s="7"/>
    </row>
    <row r="176" spans="1:21" x14ac:dyDescent="0.3">
      <c r="A176" s="7" t="s">
        <v>1086</v>
      </c>
      <c r="B176" t="s">
        <v>1089</v>
      </c>
      <c r="C176" t="s">
        <v>1079</v>
      </c>
      <c r="D176" t="s">
        <v>1076</v>
      </c>
      <c r="E176" t="s">
        <v>228</v>
      </c>
      <c r="F176">
        <v>424</v>
      </c>
      <c r="G176" s="47">
        <v>46093.755324074074</v>
      </c>
      <c r="H176" t="s">
        <v>1080</v>
      </c>
      <c r="I176" t="s">
        <v>1081</v>
      </c>
      <c r="J176" s="7" t="s">
        <v>32</v>
      </c>
      <c r="K176" s="7"/>
      <c r="L176" s="7"/>
      <c r="M176" s="7" t="s">
        <v>969</v>
      </c>
      <c r="N176" s="7"/>
      <c r="O176" s="7"/>
      <c r="P176" s="7"/>
      <c r="Q176" s="7"/>
      <c r="R176" s="7" t="s">
        <v>332</v>
      </c>
      <c r="S176" s="7"/>
      <c r="T176" s="7" t="s">
        <v>594</v>
      </c>
      <c r="U176" s="7"/>
    </row>
    <row r="177" spans="1:21" x14ac:dyDescent="0.3">
      <c r="A177" s="7" t="s">
        <v>1087</v>
      </c>
      <c r="B177" t="s">
        <v>1089</v>
      </c>
      <c r="C177" t="s">
        <v>1082</v>
      </c>
      <c r="D177" t="s">
        <v>1076</v>
      </c>
      <c r="E177" t="s">
        <v>228</v>
      </c>
      <c r="F177">
        <v>656</v>
      </c>
      <c r="G177" s="47" t="s">
        <v>915</v>
      </c>
      <c r="H177" t="s">
        <v>1083</v>
      </c>
      <c r="I177" t="s">
        <v>1084</v>
      </c>
      <c r="J177" s="7" t="s">
        <v>32</v>
      </c>
      <c r="K177" s="7"/>
      <c r="L177" s="7"/>
      <c r="M177" s="7" t="s">
        <v>969</v>
      </c>
      <c r="N177" s="7"/>
      <c r="O177" s="7"/>
      <c r="P177" s="7"/>
      <c r="Q177" s="7"/>
      <c r="R177" s="7" t="s">
        <v>332</v>
      </c>
      <c r="S177" s="7"/>
      <c r="T177" s="7" t="s">
        <v>594</v>
      </c>
      <c r="U177" s="7"/>
    </row>
    <row r="178" spans="1:21" x14ac:dyDescent="0.3">
      <c r="A178" s="7" t="s">
        <v>1088</v>
      </c>
      <c r="B178" t="s">
        <v>1089</v>
      </c>
      <c r="C178" t="s">
        <v>934</v>
      </c>
      <c r="D178" t="s">
        <v>1076</v>
      </c>
      <c r="E178" t="s">
        <v>228</v>
      </c>
      <c r="F178">
        <v>144</v>
      </c>
      <c r="G178" s="47" t="s">
        <v>915</v>
      </c>
      <c r="H178" t="s">
        <v>935</v>
      </c>
      <c r="I178" t="s">
        <v>936</v>
      </c>
      <c r="J178" s="7" t="s">
        <v>32</v>
      </c>
      <c r="K178" s="7"/>
      <c r="L178" s="7"/>
      <c r="M178" s="7" t="s">
        <v>969</v>
      </c>
      <c r="N178" s="7"/>
      <c r="O178" s="7"/>
      <c r="P178" s="7"/>
      <c r="Q178" s="7"/>
      <c r="R178" s="7" t="s">
        <v>332</v>
      </c>
      <c r="S178" s="7"/>
      <c r="T178" s="7" t="s">
        <v>594</v>
      </c>
      <c r="U178" s="7"/>
    </row>
    <row r="179" spans="1:21" x14ac:dyDescent="0.3">
      <c r="A179" s="7" t="s">
        <v>1105</v>
      </c>
      <c r="B179" t="s">
        <v>1089</v>
      </c>
      <c r="C179" t="s">
        <v>934</v>
      </c>
      <c r="D179" t="s">
        <v>1076</v>
      </c>
      <c r="E179" t="s">
        <v>228</v>
      </c>
      <c r="F179">
        <v>144</v>
      </c>
      <c r="G179" s="47" t="s">
        <v>915</v>
      </c>
      <c r="H179" t="s">
        <v>935</v>
      </c>
      <c r="I179" t="s">
        <v>936</v>
      </c>
      <c r="J179" s="7" t="s">
        <v>32</v>
      </c>
      <c r="K179" s="7"/>
      <c r="L179" s="7"/>
      <c r="M179" s="7" t="s">
        <v>969</v>
      </c>
      <c r="N179" s="7"/>
      <c r="O179" s="7"/>
      <c r="P179" s="7"/>
      <c r="Q179" s="7"/>
      <c r="R179" s="7" t="s">
        <v>332</v>
      </c>
      <c r="S179" s="7"/>
      <c r="T179" s="7" t="s">
        <v>594</v>
      </c>
      <c r="U179" s="7"/>
    </row>
  </sheetData>
  <autoFilter ref="A1:U179" xr:uid="{00000000-0001-0000-0300-000000000000}">
    <sortState xmlns:xlrd2="http://schemas.microsoft.com/office/spreadsheetml/2017/richdata2" ref="A2:U179">
      <sortCondition ref="B1:B179"/>
    </sortState>
  </autoFilter>
  <phoneticPr fontId="16" type="noConversion"/>
  <pageMargins left="0.75" right="0.75" top="1" bottom="1" header="0.511811023622047" footer="0.511811023622047"/>
  <pageSetup paperSize="9" orientation="portrait" horizontalDpi="300" verticalDpi="300" r:id="rId1"/>
  <extLst>
    <ext xmlns:x14="http://schemas.microsoft.com/office/spreadsheetml/2009/9/main" uri="{CCE6A557-97BC-4b89-ADB6-D9C93CAAB3DF}">
      <x14:dataValidations xmlns:xm="http://schemas.microsoft.com/office/excel/2006/main" count="6">
        <x14:dataValidation type="list" allowBlank="1" showInputMessage="1" showErrorMessage="1" xr:uid="{78304AB4-A495-4154-81F3-023864E3A537}">
          <x14:formula1>
            <xm:f>'Lists (Config)'!$A$4:$A$9</xm:f>
          </x14:formula1>
          <xm:sqref>J2:J179</xm:sqref>
        </x14:dataValidation>
        <x14:dataValidation type="list" allowBlank="1" showInputMessage="1" showErrorMessage="1" xr:uid="{66091678-E5DD-44AC-9770-AB85B77F1404}">
          <x14:formula1>
            <xm:f>'Lists (Config)'!$C$4:$C$9</xm:f>
          </x14:formula1>
          <xm:sqref>K2:K179</xm:sqref>
        </x14:dataValidation>
        <x14:dataValidation type="list" allowBlank="1" showInputMessage="1" showErrorMessage="1" xr:uid="{8A2F44DC-3698-423C-9A72-1CCD58E0BAAD}">
          <x14:formula1>
            <xm:f>'Lists (Config)'!$I$4:$I$12</xm:f>
          </x14:formula1>
          <xm:sqref>R2:R179</xm:sqref>
        </x14:dataValidation>
        <x14:dataValidation type="list" allowBlank="1" showInputMessage="1" showErrorMessage="1" xr:uid="{9728BB0E-1016-4D3E-9759-DC6BE22BEA79}">
          <x14:formula1>
            <xm:f>'Lists (Config)'!$E$4:$E$10</xm:f>
          </x14:formula1>
          <xm:sqref>S2:S179</xm:sqref>
        </x14:dataValidation>
        <x14:dataValidation type="list" allowBlank="1" showInputMessage="1" showErrorMessage="1" xr:uid="{2C0FF9CC-0766-475E-8E00-2F997B2B2346}">
          <x14:formula1>
            <xm:f>'Lists (Config)'!$G$4:$G$13</xm:f>
          </x14:formula1>
          <xm:sqref>T2:T179</xm:sqref>
        </x14:dataValidation>
        <x14:dataValidation type="list" allowBlank="1" showInputMessage="1" showErrorMessage="1" xr:uid="{5635ED0D-4363-46E0-A1A6-03238E1F69BB}">
          <x14:formula1>
            <xm:f>'2. Servers'!$A$2:$A$104</xm:f>
          </x14:formula1>
          <xm:sqref>B2:B192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0"/>
  <sheetViews>
    <sheetView showGridLines="0" zoomScale="95" zoomScaleNormal="95" workbookViewId="0">
      <selection activeCell="M29" sqref="M29"/>
    </sheetView>
  </sheetViews>
  <sheetFormatPr defaultColWidth="8.6640625" defaultRowHeight="14.4" x14ac:dyDescent="0.3"/>
  <cols>
    <col min="1" max="1" width="34.33203125" customWidth="1"/>
    <col min="2" max="2" width="7.109375" bestFit="1" customWidth="1"/>
    <col min="3" max="3" width="15" bestFit="1" customWidth="1"/>
    <col min="4" max="4" width="38.109375" customWidth="1"/>
    <col min="5" max="5" width="13.5546875" bestFit="1" customWidth="1"/>
    <col min="7" max="7" width="32.44140625" customWidth="1"/>
    <col min="8" max="8" width="7.109375" bestFit="1" customWidth="1"/>
    <col min="9" max="9" width="19.109375" bestFit="1" customWidth="1"/>
    <col min="10" max="10" width="16" customWidth="1"/>
    <col min="11" max="11" width="17.44140625" bestFit="1" customWidth="1"/>
    <col min="13" max="13" width="18.33203125" bestFit="1" customWidth="1"/>
    <col min="14" max="14" width="2" customWidth="1"/>
    <col min="16" max="16" width="16" customWidth="1"/>
    <col min="17" max="17" width="2" customWidth="1"/>
  </cols>
  <sheetData>
    <row r="1" spans="1:13" ht="22.8" x14ac:dyDescent="0.4">
      <c r="A1" s="19" t="s">
        <v>325</v>
      </c>
    </row>
    <row r="3" spans="1:13" ht="24.6" x14ac:dyDescent="0.4">
      <c r="A3" s="21">
        <f>COUNTA('2. Servers'!A2:A200)</f>
        <v>58</v>
      </c>
      <c r="C3" s="21">
        <f>COUNTIF('2. Servers'!H2:H200,"Yes")</f>
        <v>48</v>
      </c>
      <c r="E3" s="21">
        <f>COUNTA('3. Databases'!A2:A291)</f>
        <v>178</v>
      </c>
      <c r="G3" s="21">
        <f>ROUND(SUM('3. Databases'!F2:F291)/1024,1)</f>
        <v>4032.5</v>
      </c>
      <c r="I3" s="21">
        <f>COUNTIF('2. Servers'!R2:R200,"&gt;0")</f>
        <v>13</v>
      </c>
      <c r="K3" s="21" cm="1">
        <f t="array" ref="K3">SUMPRODUCT(COUNTIF('Lists (Config)'!K4:K6,'3. Databases'!R2:R192))</f>
        <v>0</v>
      </c>
      <c r="M3" s="21">
        <f>COUNTIF('3. Databases'!R2:R192,"Pending analysis")</f>
        <v>176</v>
      </c>
    </row>
    <row r="4" spans="1:13" x14ac:dyDescent="0.3">
      <c r="A4" s="22" t="s">
        <v>392</v>
      </c>
      <c r="C4" s="22" t="s">
        <v>8</v>
      </c>
      <c r="E4" s="22" t="s">
        <v>393</v>
      </c>
      <c r="G4" s="22" t="s">
        <v>394</v>
      </c>
      <c r="I4" s="22" t="s">
        <v>1063</v>
      </c>
      <c r="K4" s="22" t="s">
        <v>395</v>
      </c>
      <c r="M4" s="22" t="s">
        <v>396</v>
      </c>
    </row>
    <row r="6" spans="1:13" x14ac:dyDescent="0.3">
      <c r="A6" s="23" t="s">
        <v>1055</v>
      </c>
      <c r="D6" s="23" t="s">
        <v>411</v>
      </c>
      <c r="G6" s="23" t="s">
        <v>398</v>
      </c>
    </row>
    <row r="7" spans="1:13" x14ac:dyDescent="0.3">
      <c r="A7" s="20" t="s">
        <v>33</v>
      </c>
      <c r="B7">
        <f>COUNTIF('2. Servers'!I2:Q58,"Unknown")</f>
        <v>2</v>
      </c>
      <c r="D7" s="20" t="s">
        <v>326</v>
      </c>
      <c r="E7" s="20">
        <f>COUNTIF('2. Servers'!$F$2:$F$200,$D7&amp;"*")</f>
        <v>19</v>
      </c>
      <c r="G7" s="20" t="s">
        <v>399</v>
      </c>
      <c r="H7" s="20">
        <f>COUNTIFS('2. Servers'!Q2:Q300,"Yes",'2. Servers'!$H$2:$H$300,"Yes")</f>
        <v>2</v>
      </c>
    </row>
    <row r="8" spans="1:13" x14ac:dyDescent="0.3">
      <c r="A8" s="20" t="s">
        <v>991</v>
      </c>
      <c r="B8">
        <f>COUNTBLANK('2. Servers'!I2:Q58)</f>
        <v>61</v>
      </c>
      <c r="D8" s="20" t="s">
        <v>68</v>
      </c>
      <c r="E8" s="20">
        <f>COUNTIF('2. Servers'!$F$2:$F$200,$D8&amp;"*")</f>
        <v>11</v>
      </c>
      <c r="G8" s="20" t="s">
        <v>400</v>
      </c>
      <c r="H8" s="20">
        <f>COUNTIFS('2. Servers'!Q2:Q300,"No",'2. Servers'!$H$2:$H$300,"Yes")</f>
        <v>46</v>
      </c>
    </row>
    <row r="9" spans="1:13" x14ac:dyDescent="0.3">
      <c r="A9" s="20" t="s">
        <v>992</v>
      </c>
      <c r="B9">
        <f>COUNTA('2. Servers'!I2:Q58)</f>
        <v>452</v>
      </c>
      <c r="D9" s="20" t="s">
        <v>62</v>
      </c>
      <c r="E9" s="20">
        <f>COUNTIF('2. Servers'!$F$2:$F$200,$D9&amp;"*")</f>
        <v>5</v>
      </c>
      <c r="G9" s="20" t="s">
        <v>401</v>
      </c>
      <c r="H9" s="20">
        <f>C3-H7-H8</f>
        <v>0</v>
      </c>
    </row>
    <row r="10" spans="1:13" x14ac:dyDescent="0.3">
      <c r="D10" s="20" t="s">
        <v>327</v>
      </c>
      <c r="E10" s="20">
        <f>COUNTIF('2. Servers'!$F$2:$F$200,$D10&amp;"*")</f>
        <v>4</v>
      </c>
      <c r="G10" s="20" t="s">
        <v>402</v>
      </c>
      <c r="H10" s="20">
        <f>COUNTIFS('2. Servers'!P2:P300,"Yes",'2. Servers'!$H$2:$H$300,"Yes")</f>
        <v>7</v>
      </c>
    </row>
    <row r="11" spans="1:13" x14ac:dyDescent="0.3">
      <c r="A11" s="23" t="s">
        <v>990</v>
      </c>
      <c r="D11" s="20" t="s">
        <v>122</v>
      </c>
      <c r="E11" s="20">
        <f>COUNTIF('2. Servers'!$F$2:$F$200,$D11&amp;"*")</f>
        <v>3</v>
      </c>
      <c r="G11" s="20" t="s">
        <v>403</v>
      </c>
      <c r="H11" s="20">
        <f>COUNTIFS('2. Servers'!P2:P300,"No",'2. Servers'!$H$2:$H$300,"Yes")</f>
        <v>41</v>
      </c>
    </row>
    <row r="12" spans="1:13" x14ac:dyDescent="0.3">
      <c r="A12" s="20" t="str">
        <f>'Lists (Config)'!A4</f>
        <v>Production</v>
      </c>
      <c r="B12" s="20">
        <f>COUNTIF('2. Servers'!$I$2:$I$301,$A12)</f>
        <v>40</v>
      </c>
      <c r="D12" s="20" t="s">
        <v>328</v>
      </c>
      <c r="E12" s="20">
        <f>COUNTIF('2. Servers'!$F$2:$F$200,$D12&amp;"*")</f>
        <v>2</v>
      </c>
      <c r="G12" s="20" t="s">
        <v>404</v>
      </c>
      <c r="H12" s="20">
        <f>C3-H11-H10</f>
        <v>0</v>
      </c>
    </row>
    <row r="13" spans="1:13" x14ac:dyDescent="0.3">
      <c r="A13" s="20" t="str">
        <f>'Lists (Config)'!A5</f>
        <v>Staging/UAT</v>
      </c>
      <c r="B13" s="20">
        <f>COUNTIF('2. Servers'!$I$2:$I$301,$A13)</f>
        <v>4</v>
      </c>
      <c r="D13" s="20" t="s">
        <v>162</v>
      </c>
      <c r="E13" s="20">
        <f>COUNTIF('2. Servers'!$F$2:$F$200,$D13&amp;"*")</f>
        <v>2</v>
      </c>
    </row>
    <row r="14" spans="1:13" x14ac:dyDescent="0.3">
      <c r="A14" s="20" t="str">
        <f>'Lists (Config)'!A6</f>
        <v>QA</v>
      </c>
      <c r="B14" s="20">
        <f>COUNTIF('2. Servers'!$I$2:$I$301,$A14)</f>
        <v>0</v>
      </c>
      <c r="D14" s="20" t="s">
        <v>203</v>
      </c>
      <c r="E14" s="20">
        <f>COUNTIF('2. Servers'!$F$2:$F$200,$D14&amp;"*")</f>
        <v>2</v>
      </c>
      <c r="G14" s="23" t="s">
        <v>406</v>
      </c>
      <c r="H14" s="20"/>
    </row>
    <row r="15" spans="1:13" x14ac:dyDescent="0.3">
      <c r="A15" s="20" t="str">
        <f>'Lists (Config)'!A7</f>
        <v>Development</v>
      </c>
      <c r="B15" s="20">
        <f>COUNTIF('2. Servers'!$I$2:$I$301,$A15)</f>
        <v>4</v>
      </c>
      <c r="D15" s="20" t="s">
        <v>71</v>
      </c>
      <c r="E15" s="20">
        <f>COUNTIF('2. Servers'!$F$2:$F$200,$D15&amp;"*")</f>
        <v>1</v>
      </c>
      <c r="G15" s="20" t="s">
        <v>407</v>
      </c>
      <c r="H15" s="20" cm="1">
        <f t="array" ref="H15">SUMPRODUCT(('3. Databases'!A2:A291&lt;&gt;"")*('3. Databases'!B2:B291&lt;&gt;""))</f>
        <v>178</v>
      </c>
    </row>
    <row r="16" spans="1:13" x14ac:dyDescent="0.3">
      <c r="A16" s="20" t="str">
        <f>'Lists (Config)'!A8</f>
        <v>DR</v>
      </c>
      <c r="B16" s="20">
        <f>COUNTIF('2. Servers'!$I$2:$I$301,$A16)</f>
        <v>9</v>
      </c>
      <c r="D16" s="20" t="s">
        <v>77</v>
      </c>
      <c r="E16" s="20">
        <f>COUNTIF('2. Servers'!$F$2:$F$200,$D16&amp;"*")</f>
        <v>1</v>
      </c>
      <c r="G16" s="20" t="s">
        <v>1124</v>
      </c>
      <c r="H16" s="20">
        <f>COUNTIF('2. Servers'!R2:R200,"&gt;1")</f>
        <v>11</v>
      </c>
    </row>
    <row r="17" spans="1:8" x14ac:dyDescent="0.3">
      <c r="A17" s="20" t="str">
        <f>'Lists (Config)'!A9</f>
        <v>Pending validation</v>
      </c>
      <c r="B17" s="20">
        <f>COUNTIF('2. Servers'!$I$2:$I$301,$A17)</f>
        <v>0</v>
      </c>
      <c r="D17" s="20" t="s">
        <v>329</v>
      </c>
      <c r="E17" s="20">
        <f>COUNTIF('2. Servers'!$F$2:$F$200,$D17&amp;"*")</f>
        <v>1</v>
      </c>
      <c r="G17" s="20" t="s">
        <v>408</v>
      </c>
      <c r="H17" s="20">
        <f>MAX('2. Servers'!R2:R200)</f>
        <v>40</v>
      </c>
    </row>
    <row r="18" spans="1:8" x14ac:dyDescent="0.3">
      <c r="D18" s="20" t="s">
        <v>99</v>
      </c>
      <c r="E18" s="20">
        <f>COUNTIF('2. Servers'!$F$2:$F$200,$D18&amp;"*")</f>
        <v>1</v>
      </c>
      <c r="G18" s="20" t="s">
        <v>409</v>
      </c>
      <c r="H18" s="20">
        <f>IFERROR(ROUND(SUM('2. Servers'!R2:R200)/COUNTIF('2. Servers'!R2:R200,"&gt;0"),1),0)</f>
        <v>13.7</v>
      </c>
    </row>
    <row r="19" spans="1:8" x14ac:dyDescent="0.3">
      <c r="A19" s="23" t="s">
        <v>410</v>
      </c>
      <c r="D19" s="20" t="s">
        <v>103</v>
      </c>
      <c r="E19" s="20">
        <f>COUNTIF('2. Servers'!$F$2:$F$200,$D19&amp;"*")</f>
        <v>1</v>
      </c>
    </row>
    <row r="20" spans="1:8" x14ac:dyDescent="0.3">
      <c r="A20" s="20" t="str">
        <f>'Lists (Config)'!A4</f>
        <v>Production</v>
      </c>
      <c r="B20" s="20">
        <f>COUNTIF('3. Databases'!$J$2:$J$291,$A20)</f>
        <v>17</v>
      </c>
      <c r="D20" s="20" t="s">
        <v>134</v>
      </c>
      <c r="E20" s="20">
        <f>COUNTIF('2. Servers'!$F$2:$F$200,$D20&amp;"*")</f>
        <v>1</v>
      </c>
      <c r="G20" s="23" t="s">
        <v>397</v>
      </c>
    </row>
    <row r="21" spans="1:8" x14ac:dyDescent="0.3">
      <c r="A21" s="20" t="str">
        <f>'Lists (Config)'!A5</f>
        <v>Staging/UAT</v>
      </c>
      <c r="B21" s="20">
        <f>COUNTIF('3. Databases'!$J$2:$J$291,$A21)</f>
        <v>10</v>
      </c>
      <c r="D21" s="5" t="s">
        <v>449</v>
      </c>
      <c r="E21" s="20">
        <f>COUNTIF('2. Servers'!$F$2:$F$200,$D21&amp;"*")</f>
        <v>4</v>
      </c>
      <c r="G21" s="20" t="str">
        <f>'Lists (Config)'!I4</f>
        <v>Lift and Shift</v>
      </c>
      <c r="H21" s="20">
        <f>COUNTIF('3. Databases'!$R$2:$R$291,$G21)</f>
        <v>0</v>
      </c>
    </row>
    <row r="22" spans="1:8" x14ac:dyDescent="0.3">
      <c r="A22" s="20" t="str">
        <f>'Lists (Config)'!A6</f>
        <v>QA</v>
      </c>
      <c r="B22" s="20">
        <f>COUNTIF('3. Databases'!$J$2:$J$291,$A22)</f>
        <v>0</v>
      </c>
      <c r="G22" s="20" t="str">
        <f>'Lists (Config)'!I5</f>
        <v>Rehost</v>
      </c>
      <c r="H22" s="20">
        <f>COUNTIF('3. Databases'!$R$2:$R$291,$G22)</f>
        <v>0</v>
      </c>
    </row>
    <row r="23" spans="1:8" x14ac:dyDescent="0.3">
      <c r="A23" s="20" t="str">
        <f>'Lists (Config)'!A7</f>
        <v>Development</v>
      </c>
      <c r="B23" s="20">
        <f>COUNTIF('3. Databases'!$J$2:$J$291,$A23)</f>
        <v>23</v>
      </c>
      <c r="D23" s="23" t="s">
        <v>405</v>
      </c>
      <c r="G23" s="20" t="str">
        <f>'Lists (Config)'!I6</f>
        <v>Replatform</v>
      </c>
      <c r="H23" s="20">
        <f>COUNTIF('3. Databases'!$R$2:$R$291,$G23)</f>
        <v>0</v>
      </c>
    </row>
    <row r="24" spans="1:8" x14ac:dyDescent="0.3">
      <c r="A24" s="20" t="str">
        <f>'Lists (Config)'!A8</f>
        <v>DR</v>
      </c>
      <c r="B24" s="20">
        <f>COUNTIF('3. Databases'!$J$2:$J$291,$A24)</f>
        <v>0</v>
      </c>
      <c r="D24" s="20" t="s">
        <v>228</v>
      </c>
      <c r="E24" s="20">
        <f>COUNTIF('3. Databases'!E2:E291,"ONLINE")</f>
        <v>176</v>
      </c>
      <c r="G24" s="20" t="str">
        <f>'Lists (Config)'!I7</f>
        <v>Refactor</v>
      </c>
      <c r="H24" s="20">
        <f>COUNTIF('3. Databases'!$R$2:$R$291,$G24)</f>
        <v>0</v>
      </c>
    </row>
    <row r="25" spans="1:8" x14ac:dyDescent="0.3">
      <c r="A25" s="20" t="str">
        <f>'Lists (Config)'!A9</f>
        <v>Pending validation</v>
      </c>
      <c r="B25" s="20">
        <f>COUNTIF('3. Databases'!$J$2:$J$291,$A25)</f>
        <v>128</v>
      </c>
      <c r="D25" s="20" t="s">
        <v>218</v>
      </c>
      <c r="E25" s="20">
        <f>COUNTIF('3. Databases'!E2:E291,"OFFLINE")</f>
        <v>2</v>
      </c>
      <c r="G25" s="20" t="str">
        <f>'Lists (Config)'!I8</f>
        <v>Repurchase</v>
      </c>
      <c r="H25" s="20">
        <f>COUNTIF('3. Databases'!$R$2:$R$291,$G25)</f>
        <v>0</v>
      </c>
    </row>
    <row r="26" spans="1:8" x14ac:dyDescent="0.3">
      <c r="G26" s="20" t="str">
        <f>'Lists (Config)'!I9</f>
        <v>Retain</v>
      </c>
      <c r="H26" s="20">
        <f>COUNTIF('3. Databases'!$R$2:$R$291,$G26)</f>
        <v>0</v>
      </c>
    </row>
    <row r="27" spans="1:8" x14ac:dyDescent="0.3">
      <c r="A27" s="23" t="s">
        <v>1056</v>
      </c>
      <c r="D27" s="23" t="s">
        <v>1062</v>
      </c>
      <c r="G27" s="20" t="str">
        <f>'Lists (Config)'!I10</f>
        <v>Retire</v>
      </c>
      <c r="H27" s="20">
        <f>COUNTIF('3. Databases'!$R$2:$R$291,$G27)</f>
        <v>2</v>
      </c>
    </row>
    <row r="28" spans="1:8" x14ac:dyDescent="0.3">
      <c r="A28" s="20" t="s">
        <v>1057</v>
      </c>
      <c r="B28" s="20">
        <f>COUNTIFS('2. Servers'!$M$2:$M$300,"&lt;&gt;",'2. Servers'!$H$2:$H$300,"Yes")</f>
        <v>47</v>
      </c>
      <c r="D28" s="20" t="str">
        <f>'Lists (Config)'!E4</f>
        <v>Keep</v>
      </c>
      <c r="E28" s="20">
        <f>COUNTIF('3. Databases'!$S$2:$S$491,$D28)</f>
        <v>2</v>
      </c>
      <c r="G28" s="20" t="str">
        <f>'Lists (Config)'!I11</f>
        <v>Pending analysis</v>
      </c>
      <c r="H28" s="20">
        <f>COUNTIF('3. Databases'!$R$2:$R$291,$G28)</f>
        <v>176</v>
      </c>
    </row>
    <row r="29" spans="1:8" x14ac:dyDescent="0.3">
      <c r="A29" s="20" t="s">
        <v>1060</v>
      </c>
      <c r="B29" s="20">
        <f>COUNTIFS('2. Servers'!$N$2:$N$300,"&lt;&gt;",'2. Servers'!$H$2:$H$300,"Yes")</f>
        <v>39</v>
      </c>
      <c r="D29" s="20" t="str">
        <f>'Lists (Config)'!E5</f>
        <v>Upgrade</v>
      </c>
      <c r="E29" s="20">
        <f>COUNTIF('3. Databases'!$S$2:$S$491,$D29)</f>
        <v>0</v>
      </c>
      <c r="G29" s="20" t="str">
        <f>'Lists (Config)'!I12</f>
        <v>Blocked</v>
      </c>
      <c r="H29" s="20">
        <f>COUNTIF('3. Databases'!$R$2:$R$291,$G29)</f>
        <v>0</v>
      </c>
    </row>
    <row r="30" spans="1:8" x14ac:dyDescent="0.3">
      <c r="A30" s="20" t="s">
        <v>1058</v>
      </c>
      <c r="B30" s="20">
        <f>COUNTIF('3. Databases'!$L$2:$L$490,"&lt;&gt;")</f>
        <v>19</v>
      </c>
      <c r="D30" s="20" t="str">
        <f>'Lists (Config)'!E6</f>
        <v>Consolidate</v>
      </c>
      <c r="E30" s="20">
        <f>COUNTIF('3. Databases'!$S$2:$S$491,$D30)</f>
        <v>0</v>
      </c>
    </row>
    <row r="31" spans="1:8" x14ac:dyDescent="0.3">
      <c r="A31" s="20" t="s">
        <v>1059</v>
      </c>
      <c r="B31" s="20">
        <f>COUNTIF('3. Databases'!$O$2:$O$490,"&lt;&gt;")</f>
        <v>9</v>
      </c>
      <c r="D31" s="20" t="str">
        <f>'Lists (Config)'!E7</f>
        <v>Migrate</v>
      </c>
      <c r="E31" s="20">
        <f>COUNTIF('3. Databases'!$S$2:$S$491,$D31)</f>
        <v>0</v>
      </c>
      <c r="G31" s="23" t="s">
        <v>1070</v>
      </c>
    </row>
    <row r="32" spans="1:8" x14ac:dyDescent="0.3">
      <c r="A32" s="20" t="s">
        <v>1061</v>
      </c>
      <c r="B32" s="20">
        <f>COUNTIF('3. Databases'!$P$2:$P$490,"&lt;&gt;")</f>
        <v>7</v>
      </c>
      <c r="D32" s="20" t="str">
        <f>'Lists (Config)'!E8</f>
        <v>Decommission</v>
      </c>
      <c r="E32" s="20">
        <f>COUNTIF('3. Databases'!$S$2:$S$491,$D32)</f>
        <v>5</v>
      </c>
      <c r="G32" s="20" t="str">
        <f>'Lists (Config)'!C4</f>
        <v>Critical</v>
      </c>
      <c r="H32" s="20">
        <f>COUNTIF('3. Databases'!$K$2:$K291,$G32)</f>
        <v>3</v>
      </c>
    </row>
    <row r="33" spans="1:8" x14ac:dyDescent="0.3">
      <c r="A33" s="20"/>
      <c r="B33" s="20"/>
      <c r="D33" s="20" t="str">
        <f>'Lists (Config)'!E9</f>
        <v>Investigate</v>
      </c>
      <c r="E33" s="20">
        <f>COUNTIF('3. Databases'!$S$2:$S$491,$D33)</f>
        <v>5</v>
      </c>
      <c r="G33" s="20" t="str">
        <f>'Lists (Config)'!C5</f>
        <v>High</v>
      </c>
      <c r="H33" s="20">
        <f>COUNTIF('3. Databases'!$K$2:$K292,$G33)</f>
        <v>4</v>
      </c>
    </row>
    <row r="34" spans="1:8" x14ac:dyDescent="0.3">
      <c r="A34" s="20"/>
      <c r="B34" s="20"/>
      <c r="D34" s="20" t="str">
        <f>'Lists (Config)'!E10</f>
        <v>Pending validation</v>
      </c>
      <c r="E34" s="20">
        <f>COUNTIF('3. Databases'!$S$2:$S$491,$D34)</f>
        <v>9</v>
      </c>
      <c r="G34" s="20" t="str">
        <f>'Lists (Config)'!C6</f>
        <v>Medium</v>
      </c>
      <c r="H34" s="20">
        <f>COUNTIF('3. Databases'!$K$2:$K293,$G34)</f>
        <v>4</v>
      </c>
    </row>
    <row r="35" spans="1:8" x14ac:dyDescent="0.3">
      <c r="D35" s="20"/>
      <c r="G35" s="20" t="str">
        <f>'Lists (Config)'!C7</f>
        <v>Low</v>
      </c>
      <c r="H35" s="20">
        <f>COUNTIF('3. Databases'!$K$2:$K294,$G35)</f>
        <v>5</v>
      </c>
    </row>
    <row r="36" spans="1:8" x14ac:dyDescent="0.3">
      <c r="G36" s="20" t="str">
        <f>'Lists (Config)'!C8</f>
        <v>Unknown</v>
      </c>
      <c r="H36" s="20">
        <f>COUNTIF('3. Databases'!$K$2:$K295,$G36)</f>
        <v>2</v>
      </c>
    </row>
    <row r="37" spans="1:8" x14ac:dyDescent="0.3">
      <c r="G37" s="20" t="str">
        <f>'Lists (Config)'!C9</f>
        <v>Pending validation</v>
      </c>
      <c r="H37" s="20">
        <f>COUNTIF('3. Databases'!$K$2:$K296,$G37)</f>
        <v>0</v>
      </c>
    </row>
    <row r="38" spans="1:8" x14ac:dyDescent="0.3">
      <c r="G38" s="20"/>
      <c r="H38" s="20"/>
    </row>
    <row r="39" spans="1:8" x14ac:dyDescent="0.3">
      <c r="G39" s="20"/>
      <c r="H39" s="20"/>
    </row>
    <row r="40" spans="1:8" x14ac:dyDescent="0.3">
      <c r="G40" s="20"/>
      <c r="H40" s="20"/>
    </row>
  </sheetData>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64CD-5C5B-49BE-BF0E-C03DFDC2BDEF}">
  <dimension ref="A1:F7"/>
  <sheetViews>
    <sheetView workbookViewId="0">
      <selection activeCell="C2" sqref="C2"/>
    </sheetView>
  </sheetViews>
  <sheetFormatPr defaultRowHeight="14.4" x14ac:dyDescent="0.3"/>
  <cols>
    <col min="1" max="1" width="6.44140625" customWidth="1"/>
    <col min="2" max="2" width="21" customWidth="1"/>
    <col min="3" max="3" width="81.88671875" customWidth="1"/>
    <col min="4" max="4" width="22.88671875" customWidth="1"/>
    <col min="5" max="5" width="81.88671875" customWidth="1"/>
    <col min="6" max="6" width="15.33203125" customWidth="1"/>
  </cols>
  <sheetData>
    <row r="1" spans="1:6" ht="21.9" customHeight="1" thickBot="1" x14ac:dyDescent="0.35">
      <c r="A1" s="42" t="s">
        <v>1013</v>
      </c>
      <c r="B1" s="42" t="s">
        <v>1014</v>
      </c>
      <c r="C1" s="42" t="s">
        <v>1015</v>
      </c>
      <c r="D1" s="42" t="s">
        <v>1012</v>
      </c>
      <c r="E1" s="42" t="s">
        <v>1011</v>
      </c>
      <c r="F1" s="42" t="s">
        <v>1016</v>
      </c>
    </row>
    <row r="2" spans="1:6" ht="60" customHeight="1" x14ac:dyDescent="0.3">
      <c r="A2" s="38" t="s">
        <v>1017</v>
      </c>
      <c r="B2" s="39" t="s">
        <v>1018</v>
      </c>
      <c r="C2" s="40" t="s">
        <v>1043</v>
      </c>
      <c r="D2" s="40"/>
      <c r="E2" s="40"/>
      <c r="F2" s="41" t="s">
        <v>1019</v>
      </c>
    </row>
    <row r="3" spans="1:6" ht="60" customHeight="1" x14ac:dyDescent="0.3">
      <c r="A3" s="34" t="s">
        <v>1020</v>
      </c>
      <c r="B3" s="35" t="s">
        <v>1021</v>
      </c>
      <c r="C3" s="36" t="s">
        <v>1044</v>
      </c>
      <c r="D3" s="36"/>
      <c r="E3" s="36"/>
      <c r="F3" s="37" t="s">
        <v>1019</v>
      </c>
    </row>
    <row r="4" spans="1:6" ht="60" customHeight="1" x14ac:dyDescent="0.3">
      <c r="A4" s="30" t="s">
        <v>1022</v>
      </c>
      <c r="B4" s="31" t="s">
        <v>1023</v>
      </c>
      <c r="C4" s="32" t="s">
        <v>1045</v>
      </c>
      <c r="D4" s="32"/>
      <c r="E4" s="32"/>
      <c r="F4" s="33" t="s">
        <v>1019</v>
      </c>
    </row>
    <row r="5" spans="1:6" ht="60" customHeight="1" x14ac:dyDescent="0.3">
      <c r="A5" s="34" t="s">
        <v>1024</v>
      </c>
      <c r="B5" s="35" t="s">
        <v>1025</v>
      </c>
      <c r="C5" s="36" t="s">
        <v>1046</v>
      </c>
      <c r="D5" s="36"/>
      <c r="E5" s="36"/>
      <c r="F5" s="37" t="s">
        <v>1019</v>
      </c>
    </row>
    <row r="6" spans="1:6" ht="60" customHeight="1" x14ac:dyDescent="0.3">
      <c r="A6" s="30" t="s">
        <v>1026</v>
      </c>
      <c r="B6" s="31" t="s">
        <v>1027</v>
      </c>
      <c r="C6" s="32" t="s">
        <v>1047</v>
      </c>
      <c r="D6" s="32"/>
      <c r="E6" s="32"/>
      <c r="F6" s="33" t="s">
        <v>1019</v>
      </c>
    </row>
    <row r="7" spans="1:6" ht="60" customHeight="1" x14ac:dyDescent="0.3">
      <c r="A7" s="34" t="s">
        <v>1028</v>
      </c>
      <c r="B7" s="35" t="s">
        <v>4</v>
      </c>
      <c r="C7" s="36" t="s">
        <v>1048</v>
      </c>
      <c r="D7" s="36"/>
      <c r="E7" s="36"/>
      <c r="F7" s="37" t="s">
        <v>1019</v>
      </c>
    </row>
  </sheetData>
  <dataValidations count="1">
    <dataValidation type="list" allowBlank="1" showInputMessage="1" showErrorMessage="1" sqref="F2:F7" xr:uid="{368638AD-8CB0-4945-976E-0B3E1532A3C8}">
      <formula1>"Open,In Progress,Answered,Blocked"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49312-BC74-49DE-9182-DFA43C494658}">
  <dimension ref="A1:B32"/>
  <sheetViews>
    <sheetView workbookViewId="0">
      <selection activeCell="B2" sqref="B2"/>
    </sheetView>
  </sheetViews>
  <sheetFormatPr defaultRowHeight="14.4" x14ac:dyDescent="0.3"/>
  <cols>
    <col min="1" max="1" width="43.88671875" customWidth="1"/>
    <col min="2" max="2" width="121.88671875" customWidth="1"/>
  </cols>
  <sheetData>
    <row r="1" spans="1:2" x14ac:dyDescent="0.3">
      <c r="A1" s="4" t="s">
        <v>412</v>
      </c>
      <c r="B1" s="4" t="s">
        <v>413</v>
      </c>
    </row>
    <row r="2" spans="1:2" ht="22.8" x14ac:dyDescent="0.3">
      <c r="A2" s="45" t="s">
        <v>414</v>
      </c>
      <c r="B2" s="46" t="s">
        <v>415</v>
      </c>
    </row>
    <row r="3" spans="1:2" x14ac:dyDescent="0.3">
      <c r="A3" s="43" t="s">
        <v>416</v>
      </c>
      <c r="B3" s="44" t="s">
        <v>417</v>
      </c>
    </row>
    <row r="4" spans="1:2" x14ac:dyDescent="0.3">
      <c r="A4" s="45" t="s">
        <v>418</v>
      </c>
      <c r="B4" s="46" t="s">
        <v>419</v>
      </c>
    </row>
    <row r="5" spans="1:2" x14ac:dyDescent="0.3">
      <c r="A5" s="43" t="s">
        <v>420</v>
      </c>
      <c r="B5" s="44" t="s">
        <v>421</v>
      </c>
    </row>
    <row r="6" spans="1:2" x14ac:dyDescent="0.3">
      <c r="A6" s="45" t="s">
        <v>422</v>
      </c>
      <c r="B6" s="46" t="s">
        <v>423</v>
      </c>
    </row>
    <row r="7" spans="1:2" x14ac:dyDescent="0.3">
      <c r="A7" s="43" t="s">
        <v>334</v>
      </c>
      <c r="B7" s="44" t="s">
        <v>424</v>
      </c>
    </row>
    <row r="8" spans="1:2" x14ac:dyDescent="0.3">
      <c r="A8" s="45" t="s">
        <v>335</v>
      </c>
      <c r="B8" s="46" t="s">
        <v>425</v>
      </c>
    </row>
    <row r="9" spans="1:2" x14ac:dyDescent="0.3">
      <c r="A9" s="43" t="s">
        <v>336</v>
      </c>
      <c r="B9" s="44" t="s">
        <v>426</v>
      </c>
    </row>
    <row r="10" spans="1:2" x14ac:dyDescent="0.3">
      <c r="A10" s="45" t="s">
        <v>337</v>
      </c>
      <c r="B10" s="46" t="s">
        <v>427</v>
      </c>
    </row>
    <row r="11" spans="1:2" x14ac:dyDescent="0.3">
      <c r="A11" s="43" t="s">
        <v>338</v>
      </c>
      <c r="B11" s="44" t="s">
        <v>428</v>
      </c>
    </row>
    <row r="12" spans="1:2" x14ac:dyDescent="0.3">
      <c r="A12" s="45" t="s">
        <v>339</v>
      </c>
      <c r="B12" s="46" t="s">
        <v>429</v>
      </c>
    </row>
    <row r="13" spans="1:2" x14ac:dyDescent="0.3">
      <c r="A13" s="43" t="s">
        <v>340</v>
      </c>
      <c r="B13" s="44" t="s">
        <v>430</v>
      </c>
    </row>
    <row r="14" spans="1:2" x14ac:dyDescent="0.3">
      <c r="A14" s="45" t="s">
        <v>332</v>
      </c>
      <c r="B14" s="46" t="s">
        <v>431</v>
      </c>
    </row>
    <row r="15" spans="1:2" x14ac:dyDescent="0.3">
      <c r="A15" s="43" t="s">
        <v>341</v>
      </c>
      <c r="B15" s="44" t="s">
        <v>432</v>
      </c>
    </row>
    <row r="16" spans="1:2" x14ac:dyDescent="0.3">
      <c r="A16" s="45" t="s">
        <v>38</v>
      </c>
      <c r="B16" s="46" t="s">
        <v>433</v>
      </c>
    </row>
    <row r="17" spans="1:2" x14ac:dyDescent="0.3">
      <c r="A17" s="43" t="s">
        <v>434</v>
      </c>
      <c r="B17" s="44" t="s">
        <v>435</v>
      </c>
    </row>
    <row r="18" spans="1:2" x14ac:dyDescent="0.3">
      <c r="A18" s="45" t="s">
        <v>436</v>
      </c>
      <c r="B18" s="46" t="s">
        <v>437</v>
      </c>
    </row>
    <row r="19" spans="1:2" x14ac:dyDescent="0.3">
      <c r="A19" s="43" t="s">
        <v>438</v>
      </c>
      <c r="B19" s="44" t="s">
        <v>439</v>
      </c>
    </row>
    <row r="20" spans="1:2" x14ac:dyDescent="0.3">
      <c r="A20" s="45" t="s">
        <v>25</v>
      </c>
      <c r="B20" s="46" t="s">
        <v>440</v>
      </c>
    </row>
    <row r="21" spans="1:2" x14ac:dyDescent="0.3">
      <c r="A21" s="43" t="s">
        <v>441</v>
      </c>
      <c r="B21" s="44" t="s">
        <v>442</v>
      </c>
    </row>
    <row r="22" spans="1:2" x14ac:dyDescent="0.3">
      <c r="A22" s="45" t="s">
        <v>443</v>
      </c>
      <c r="B22" s="46" t="s">
        <v>444</v>
      </c>
    </row>
    <row r="23" spans="1:2" x14ac:dyDescent="0.3">
      <c r="A23" s="43" t="s">
        <v>7</v>
      </c>
      <c r="B23" s="44" t="s">
        <v>445</v>
      </c>
    </row>
    <row r="24" spans="1:2" ht="22.8" x14ac:dyDescent="0.3">
      <c r="A24" s="45" t="s">
        <v>54</v>
      </c>
      <c r="B24" s="46" t="s">
        <v>1029</v>
      </c>
    </row>
    <row r="25" spans="1:2" ht="22.8" x14ac:dyDescent="0.3">
      <c r="A25" s="43" t="s">
        <v>1030</v>
      </c>
      <c r="B25" s="44" t="s">
        <v>1031</v>
      </c>
    </row>
    <row r="26" spans="1:2" ht="22.8" x14ac:dyDescent="0.3">
      <c r="A26" s="45" t="s">
        <v>1032</v>
      </c>
      <c r="B26" s="46" t="s">
        <v>1033</v>
      </c>
    </row>
    <row r="27" spans="1:2" ht="22.8" x14ac:dyDescent="0.3">
      <c r="A27" s="43" t="s">
        <v>1034</v>
      </c>
      <c r="B27" s="44" t="s">
        <v>1035</v>
      </c>
    </row>
    <row r="28" spans="1:2" ht="22.8" x14ac:dyDescent="0.3">
      <c r="A28" s="45" t="s">
        <v>1000</v>
      </c>
      <c r="B28" s="46" t="s">
        <v>1036</v>
      </c>
    </row>
    <row r="29" spans="1:2" ht="22.8" x14ac:dyDescent="0.3">
      <c r="A29" s="43" t="s">
        <v>1037</v>
      </c>
      <c r="B29" s="44" t="s">
        <v>1038</v>
      </c>
    </row>
    <row r="30" spans="1:2" ht="22.8" x14ac:dyDescent="0.3">
      <c r="A30" s="45" t="s">
        <v>1039</v>
      </c>
      <c r="B30" s="46" t="s">
        <v>1040</v>
      </c>
    </row>
    <row r="31" spans="1:2" ht="22.8" x14ac:dyDescent="0.3">
      <c r="A31" s="43" t="s">
        <v>3</v>
      </c>
      <c r="B31" s="44" t="s">
        <v>1041</v>
      </c>
    </row>
    <row r="32" spans="1:2" x14ac:dyDescent="0.3">
      <c r="A32" s="45" t="s">
        <v>5</v>
      </c>
      <c r="B32" s="46" t="s">
        <v>1042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BA6B04A50C40B40A1A0B0CC1C36A67F" ma:contentTypeVersion="9" ma:contentTypeDescription="Create a new document." ma:contentTypeScope="" ma:versionID="ef25692c8fac70007ba7cff043ea8264">
  <xsd:schema xmlns:xsd="http://www.w3.org/2001/XMLSchema" xmlns:xs="http://www.w3.org/2001/XMLSchema" xmlns:p="http://schemas.microsoft.com/office/2006/metadata/properties" xmlns:ns2="30eb1f16-4829-47c6-bdd4-239c6b1de1a9" targetNamespace="http://schemas.microsoft.com/office/2006/metadata/properties" ma:root="true" ma:fieldsID="f75593d3df8df09d138d563b6b56b5b4" ns2:_="">
    <xsd:import namespace="30eb1f16-4829-47c6-bdd4-239c6b1de1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eb1f16-4829-47c6-bdd4-239c6b1de1a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5e823d-31db-440c-980d-283f89df7c2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eb1f16-4829-47c6-bdd4-239c6b1de1a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016303-BAAA-4E02-A18F-A4A4BD6CDBF1}">
  <ds:schemaRefs>
    <ds:schemaRef ds:uri="http://schemas.microsoft.com/sharepoint/v3/contenttype/forms"/>
  </ds:schemaRefs>
</ds:datastoreItem>
</file>

<file path=customXml/itemProps2.xml><?xml version="1.0" encoding="utf-8"?>
<ds:datastoreItem xmlns:ds="http://schemas.openxmlformats.org/officeDocument/2006/customXml" ds:itemID="{99A3AD2E-E6B5-4F67-B90C-5B5A71936A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0eb1f16-4829-47c6-bdd4-239c6b1de1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D72B5D-EED8-4D6C-BA95-CCCA316EBCDE}">
  <ds:schemaRefs>
    <ds:schemaRef ds:uri="http://schemas.microsoft.com/office/2006/metadata/properties"/>
    <ds:schemaRef ds:uri="http://schemas.microsoft.com/office/infopath/2007/PartnerControls"/>
    <ds:schemaRef ds:uri="30eb1f16-4829-47c6-bdd4-239c6b1de1a9"/>
  </ds:schemaRefs>
</ds:datastoreItem>
</file>

<file path=docMetadata/LabelInfo.xml><?xml version="1.0" encoding="utf-8"?>
<clbl:labelList xmlns:clbl="http://schemas.microsoft.com/office/2020/mipLabelMetadata">
  <clbl:label id="{3048dc87-43f0-4100-9acb-ae1971c79395}" enabled="0" method="" siteId="{3048dc87-43f0-4100-9acb-ae1971c79395}" removed="1"/>
</clbl:labelLis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How To Use</vt:lpstr>
      <vt:lpstr>Lists (Config)</vt:lpstr>
      <vt:lpstr>2. Servers</vt:lpstr>
      <vt:lpstr>3. Databases</vt:lpstr>
      <vt:lpstr>4. Dashboard</vt:lpstr>
      <vt:lpstr>5. Questions</vt:lpstr>
      <vt:lpstr>6. Glossary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Rodney Laurent</cp:lastModifiedBy>
  <cp:revision>1</cp:revision>
  <dcterms:created xsi:type="dcterms:W3CDTF">2026-07-14T13:55:19Z</dcterms:created>
  <dcterms:modified xsi:type="dcterms:W3CDTF">2026-07-28T18:17:41Z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0x0101003BA6B04A50C40B40A1A0B0CC1C36A67F</vt:lpwstr>
  </property>
  <property fmtid="{D5CDD505-2E9C-101B-9397-08002B2CF9AE}" pid="3" name="MediaServiceImageTags">
    <vt:lpwstr/>
  </property>
</Properties>
</file>