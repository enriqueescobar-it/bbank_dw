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_gflores\Documents\daily\20260807\"/>
    </mc:Choice>
  </mc:AlternateContent>
  <xr:revisionPtr revIDLastSave="0" documentId="13_ncr:1_{EC332EF5-B108-45F9-9CDC-1B2A76BE3E4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s (Config)" sheetId="2" r:id="rId1"/>
    <sheet name="2. Servers" sheetId="3" r:id="rId2"/>
    <sheet name="3. Databases" sheetId="5" r:id="rId3"/>
  </sheets>
  <definedNames>
    <definedName name="_xlnm._FilterDatabase" localSheetId="1" hidden="1">'2. Servers'!$A$1:$W$59</definedName>
    <definedName name="_xlnm._FilterDatabase" localSheetId="2" hidden="1">'3. Databases'!$A$1:$AH$56</definedName>
    <definedName name="AccessLevelList">'Lists (Config)'!$N$4:$N$7</definedName>
    <definedName name="AssessmentStatusList">'Lists (Config)'!$I$4:$I$9</definedName>
    <definedName name="ConfidenceList">'Lists (Config)'!$M$4:$M$6</definedName>
    <definedName name="CriticalityList">'Lists (Config)'!$C$4:$C$9</definedName>
    <definedName name="DiscoverySourceList">'Lists (Config)'!$G$4:$G$11</definedName>
    <definedName name="DispositionList">'Lists (Config)'!$E$4:$E$10</definedName>
    <definedName name="EnvironmentList">'Lists (Config)'!$A$4:$A$10</definedName>
    <definedName name="HADRList">'Lists (Config)'!$D$4:$D$9</definedName>
    <definedName name="_xlnm.Print_Titles" localSheetId="2">'3. Databases'!$1:$1</definedName>
    <definedName name="ServerIDs">'2. Servers'!$A$2:$A$200</definedName>
    <definedName name="SupportStatusList">'Lists (Config)'!$B$4:$B$9</definedName>
    <definedName name="TechnicalReviewList">'Lists (Config)'!$O$4:$O$8</definedName>
    <definedName name="UsageStatusList">'Lists (Config)'!$L$4:$L$8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" i="3" l="1"/>
  <c r="R59" i="3"/>
  <c r="H59" i="3"/>
  <c r="S58" i="3"/>
  <c r="R58" i="3"/>
  <c r="H58" i="3"/>
  <c r="S57" i="3"/>
  <c r="R57" i="3"/>
  <c r="H57" i="3"/>
  <c r="S56" i="3"/>
  <c r="R56" i="3"/>
  <c r="H56" i="3"/>
  <c r="S55" i="3"/>
  <c r="R55" i="3"/>
  <c r="H55" i="3"/>
  <c r="S54" i="3"/>
  <c r="R54" i="3"/>
  <c r="H54" i="3"/>
  <c r="S53" i="3"/>
  <c r="R53" i="3"/>
  <c r="H53" i="3"/>
  <c r="S52" i="3"/>
  <c r="R52" i="3"/>
  <c r="H52" i="3"/>
  <c r="S51" i="3"/>
  <c r="R51" i="3"/>
  <c r="H51" i="3"/>
  <c r="S50" i="3"/>
  <c r="R50" i="3"/>
  <c r="H50" i="3"/>
  <c r="S49" i="3"/>
  <c r="R49" i="3"/>
  <c r="H49" i="3"/>
  <c r="S48" i="3"/>
  <c r="R48" i="3"/>
  <c r="H48" i="3"/>
  <c r="S47" i="3"/>
  <c r="R47" i="3"/>
  <c r="H47" i="3"/>
  <c r="S46" i="3"/>
  <c r="R46" i="3"/>
  <c r="H46" i="3"/>
  <c r="S45" i="3"/>
  <c r="R45" i="3"/>
  <c r="H45" i="3"/>
  <c r="S44" i="3"/>
  <c r="R44" i="3"/>
  <c r="H44" i="3"/>
  <c r="S43" i="3"/>
  <c r="R43" i="3"/>
  <c r="H43" i="3"/>
  <c r="S42" i="3"/>
  <c r="R42" i="3"/>
  <c r="H42" i="3"/>
  <c r="S41" i="3"/>
  <c r="R41" i="3"/>
  <c r="H41" i="3"/>
  <c r="S40" i="3"/>
  <c r="R40" i="3"/>
  <c r="H40" i="3"/>
  <c r="S39" i="3"/>
  <c r="R39" i="3"/>
  <c r="H39" i="3"/>
  <c r="S38" i="3"/>
  <c r="R38" i="3"/>
  <c r="H38" i="3"/>
  <c r="S37" i="3"/>
  <c r="R37" i="3"/>
  <c r="H37" i="3"/>
  <c r="S36" i="3"/>
  <c r="R36" i="3"/>
  <c r="H36" i="3"/>
  <c r="S35" i="3"/>
  <c r="R35" i="3"/>
  <c r="H35" i="3"/>
  <c r="S34" i="3"/>
  <c r="R34" i="3"/>
  <c r="H34" i="3"/>
  <c r="S33" i="3"/>
  <c r="R33" i="3"/>
  <c r="H33" i="3"/>
  <c r="S32" i="3"/>
  <c r="R32" i="3"/>
  <c r="H32" i="3"/>
  <c r="S31" i="3"/>
  <c r="R31" i="3"/>
  <c r="H31" i="3"/>
  <c r="S30" i="3"/>
  <c r="R30" i="3"/>
  <c r="H30" i="3"/>
  <c r="S29" i="3"/>
  <c r="R29" i="3"/>
  <c r="H29" i="3"/>
  <c r="S28" i="3"/>
  <c r="R28" i="3"/>
  <c r="H28" i="3"/>
  <c r="S27" i="3"/>
  <c r="R27" i="3"/>
  <c r="H27" i="3"/>
  <c r="S26" i="3"/>
  <c r="R26" i="3"/>
  <c r="H26" i="3"/>
  <c r="S25" i="3"/>
  <c r="R25" i="3"/>
  <c r="H25" i="3"/>
  <c r="S24" i="3"/>
  <c r="R24" i="3"/>
  <c r="H24" i="3"/>
  <c r="S23" i="3"/>
  <c r="R23" i="3"/>
  <c r="H23" i="3"/>
  <c r="S22" i="3"/>
  <c r="R22" i="3"/>
  <c r="H22" i="3"/>
  <c r="S21" i="3"/>
  <c r="R21" i="3"/>
  <c r="H21" i="3"/>
  <c r="S20" i="3"/>
  <c r="R20" i="3"/>
  <c r="H20" i="3"/>
  <c r="S19" i="3"/>
  <c r="R19" i="3"/>
  <c r="H19" i="3"/>
  <c r="S18" i="3"/>
  <c r="R18" i="3"/>
  <c r="H18" i="3"/>
  <c r="S17" i="3"/>
  <c r="R17" i="3"/>
  <c r="H17" i="3"/>
  <c r="S16" i="3"/>
  <c r="R16" i="3"/>
  <c r="H16" i="3"/>
  <c r="S15" i="3"/>
  <c r="R15" i="3"/>
  <c r="H15" i="3"/>
  <c r="S14" i="3"/>
  <c r="R14" i="3"/>
  <c r="H14" i="3"/>
  <c r="S13" i="3"/>
  <c r="R13" i="3"/>
  <c r="H13" i="3"/>
  <c r="S12" i="3"/>
  <c r="R12" i="3"/>
  <c r="H12" i="3"/>
  <c r="S11" i="3"/>
  <c r="R11" i="3"/>
  <c r="H11" i="3"/>
  <c r="S10" i="3"/>
  <c r="R10" i="3"/>
  <c r="H10" i="3"/>
  <c r="S9" i="3"/>
  <c r="R9" i="3"/>
  <c r="H9" i="3"/>
  <c r="S8" i="3"/>
  <c r="R8" i="3"/>
  <c r="H8" i="3"/>
  <c r="S7" i="3"/>
  <c r="R7" i="3"/>
  <c r="H7" i="3"/>
  <c r="S6" i="3"/>
  <c r="R6" i="3"/>
  <c r="H6" i="3"/>
  <c r="S5" i="3"/>
  <c r="R5" i="3"/>
  <c r="H5" i="3"/>
  <c r="S4" i="3"/>
  <c r="R4" i="3"/>
  <c r="H4" i="3"/>
  <c r="S3" i="3"/>
  <c r="R3" i="3"/>
  <c r="H3" i="3"/>
  <c r="S2" i="3"/>
  <c r="R2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P1" authorId="0" shapeId="0" xr:uid="{00000000-0006-0000-0200-000001000000}">
      <text>
        <r>
          <rPr>
            <sz val="11"/>
            <color theme="1"/>
            <rFont val="Calibri"/>
            <family val="2"/>
          </rPr>
          <t>Access level derived from the original Yes/No field and any explicit read-only wording in Notes. "Available - Scope Not Confirmed" means access exists but its permissions were not documented.</t>
        </r>
      </text>
    </comment>
    <comment ref="V1" authorId="0" shapeId="0" xr:uid="{00000000-0006-0000-0200-000002000000}">
      <text>
        <r>
          <rPr>
            <sz val="11"/>
            <color theme="1"/>
            <rFont val="Calibri"/>
            <family val="2"/>
          </rPr>
          <t>Explicitly documents what could not be validated because of access or review limitations.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</rPr>
          <t>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M1" authorId="0" shapeId="0" xr:uid="{00000000-0006-0000-0400-000002000000}">
      <text>
        <r>
          <rPr>
            <sz val="11"/>
            <color theme="1"/>
            <rFont val="Calibri"/>
            <family val="2"/>
          </rPr>
          <t>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N1" authorId="0" shapeId="0" xr:uid="{00000000-0006-0000-0400-000003000000}">
      <text>
        <r>
          <rPr>
            <sz val="11"/>
            <color theme="1"/>
            <rFont val="Calibri"/>
            <family val="2"/>
          </rPr>
          <t>Concise English description of the business process or capability supported by the database. Detailed technical context remains in Notes.
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O1" authorId="0" shapeId="0" xr:uid="{00000000-0006-0000-0400-000004000000}">
      <text>
        <r>
          <rPr>
            <sz val="11"/>
            <color theme="1"/>
            <rFont val="Calibri"/>
            <family val="2"/>
          </rPr>
          <t>Preliminary usage classification based on interviews, documentation, and available technical evidence. It is not a substitute for activity-log validation.
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R1" authorId="0" shapeId="0" xr:uid="{00000000-0006-0000-0400-000005000000}">
      <text>
        <r>
          <rPr>
            <sz val="11"/>
            <color theme="1"/>
            <rFont val="Calibri"/>
            <family val="2"/>
          </rPr>
          <t>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S1" authorId="0" shapeId="0" xr:uid="{00000000-0006-0000-0400-000006000000}">
      <text>
        <r>
          <rPr>
            <sz val="11"/>
            <color theme="1"/>
            <rFont val="Calibri"/>
            <family val="2"/>
          </rPr>
          <t>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T1" authorId="0" shapeId="0" xr:uid="{00000000-0006-0000-0400-000007000000}">
      <text>
        <r>
          <rPr>
            <sz val="11"/>
            <color theme="1"/>
            <rFont val="Calibri"/>
            <family val="2"/>
          </rPr>
          <t>Technologies or processing mechanisms explicitly mentioned in the source material. Multiple values are separated with |.</t>
        </r>
      </text>
    </comment>
    <comment ref="U1" authorId="0" shapeId="0" xr:uid="{00000000-0006-0000-0400-000008000000}">
      <text>
        <r>
          <rPr>
            <sz val="11"/>
            <color theme="1"/>
            <rFont val="Calibri"/>
            <family val="2"/>
          </rPr>
          <t>Status of the assessment work, separate from the recommended disposition.
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V1" authorId="0" shapeId="0" xr:uid="{00000000-0006-0000-0400-000009000000}">
      <text>
        <r>
          <rPr>
            <sz val="11"/>
            <color theme="1"/>
            <rFont val="Calibri"/>
            <family val="2"/>
          </rPr>
          <t>Preliminary direction only. TBD means the available evidence is not yet sufficient for a target decision.</t>
        </r>
      </text>
    </comment>
    <comment ref="W1" authorId="0" shapeId="0" xr:uid="{00000000-0006-0000-0400-00000A000000}">
      <text>
        <r>
          <rPr>
            <sz val="11"/>
            <color theme="1"/>
            <rFont val="Calibri"/>
            <family val="2"/>
          </rPr>
          <t>Derived from evidence source and field completeness: High, Medium, or Low. It does not represent business criticality.
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X1" authorId="0" shapeId="0" xr:uid="{00000000-0006-0000-0400-00000B000000}">
      <text>
        <r>
          <rPr>
            <sz val="11"/>
            <color theme="1"/>
            <rFont val="Calibri"/>
            <family val="2"/>
          </rPr>
          <t>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Y1" authorId="0" shapeId="0" xr:uid="{00000000-0006-0000-0400-00000C000000}">
      <text>
        <r>
          <rPr>
            <sz val="11"/>
            <color theme="1"/>
            <rFont val="Calibri"/>
            <family val="2"/>
          </rPr>
          <t>Actionable validation backlog generated from documented gaps. It does not assert facts not present in the source material.</t>
        </r>
      </text>
    </comment>
    <comment ref="Z1" authorId="0" shapeId="0" xr:uid="{00000000-0006-0000-0400-00000D000000}">
      <text>
        <r>
          <rPr>
            <sz val="11"/>
            <color theme="1"/>
            <rFont val="Calibri"/>
            <family val="2"/>
          </rPr>
          <t>Supporting context, interview findings, exceptions, and preliminary disposition rationale.</t>
        </r>
      </text>
    </comment>
    <comment ref="AA1" authorId="0" shapeId="0" xr:uid="{00000000-0006-0000-0400-00000E000000}">
      <text>
        <r>
          <rPr>
            <sz val="11"/>
            <color theme="1"/>
            <rFont val="Calibri"/>
            <family val="2"/>
          </rPr>
          <t>Business requirement that must be confirmed with the business/application owner. Suggested format: RTO: 4 hours | RPO: 15 minutes. Do not infer from Criticality, backups, or Usage Status.</t>
        </r>
      </text>
    </comment>
    <comment ref="AB1" authorId="0" shapeId="0" xr:uid="{00000000-0006-0000-0400-00000F000000}">
      <text>
        <r>
          <rPr>
            <sz val="11"/>
            <color theme="1"/>
            <rFont val="Calibri"/>
            <family val="2"/>
          </rPr>
          <t>Maximum acceptable service interruption and approved migration window. Suggested format: Max downtime: 2 hours | Window: Saturday 22:00-02:00 ET.</t>
        </r>
      </text>
    </comment>
    <comment ref="AC1" authorId="0" shapeId="0" xr:uid="{00000000-0006-0000-0400-000010000000}">
      <text>
        <r>
          <rPr>
            <sz val="11"/>
            <color theme="1"/>
            <rFont val="Calibri"/>
            <family val="2"/>
          </rPr>
          <t>Business operating hours and periods when migration or downtime should be avoided. Example: Business days 08:00-18:00 ET | Month-end critical.</t>
        </r>
      </text>
    </comment>
    <comment ref="AD1" authorId="0" shapeId="0" xr:uid="{00000000-0006-0000-0400-000011000000}">
      <text>
        <r>
          <rPr>
            <sz val="11"/>
            <color theme="1"/>
            <rFont val="Calibri"/>
            <family val="2"/>
          </rPr>
          <t>Confirmed data sensitivity and regulatory scope. Example: Confidential | Customer PII | GLBA | PCI. Confirm with Security, Compliance, or the Data Owner.</t>
        </r>
      </text>
    </comment>
    <comment ref="AE1" authorId="0" shapeId="0" xr:uid="{00000000-0006-0000-0400-000012000000}">
      <text>
        <r>
          <rPr>
            <sz val="11"/>
            <color theme="1"/>
            <rFont val="Calibri"/>
            <family val="2"/>
          </rPr>
          <t>Required retention, archival, legal-hold, and deletion rules. Example: 7 years online + 3 years archive. Do not infer from current backup history.</t>
        </r>
      </text>
    </comment>
    <comment ref="AF1" authorId="0" shapeId="0" xr:uid="{00000000-0006-0000-0400-000013000000}">
      <text>
        <r>
          <rPr>
            <sz val="11"/>
            <color theme="1"/>
            <rFont val="Calibri"/>
            <family val="2"/>
          </rPr>
          <t>Measured or owner-provided workload baseline. Include CPU, memory, IOPS/throughput, concurrency, batch duration, current size, and growth where available.</t>
        </r>
      </text>
    </comment>
    <comment ref="AG1" authorId="0" shapeId="0" xr:uid="{00000000-0006-0000-0400-000014000000}">
      <text>
        <r>
          <rPr>
            <sz val="11"/>
            <color theme="1"/>
            <rFont val="Calibri"/>
            <family val="2"/>
          </rPr>
          <t>Confirmed technical features or dependencies that may constrain AWS target selection. Example: SQL Agent | Linked Servers | SSIS | Windows Authentication | File Shares.
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AH1" authorId="0" shapeId="0" xr:uid="{00000000-0006-0000-0400-000015000000}">
      <text>
        <r>
          <rPr>
            <sz val="11"/>
            <color theme="1"/>
            <rFont val="Calibri"/>
            <family val="2"/>
          </rPr>
          <t>v15 update: selected values for Caddiel-owned/JHA-supported databases were populated from Bradesco_Databases_Caddiel_Campos_Technical_Owners_v1- Update.xlsx, modified 2026-08-06. Group-level statements remain subject to individual database validation.</t>
        </r>
      </text>
    </comment>
    <comment ref="V6" authorId="0" shapeId="0" xr:uid="{00000000-0006-0000-0400-000062000000}">
      <text>
        <r>
          <rPr>
            <sz val="11"/>
            <color theme="1"/>
            <rFont val="Calibri"/>
            <family val="2"/>
          </rPr>
          <t>Preliminary rationale: Owner, usage, and dependency validation is still required.</t>
        </r>
      </text>
    </comment>
    <comment ref="V11" authorId="0" shapeId="0" xr:uid="{00000000-0006-0000-0400-000071000000}">
      <text>
        <r>
          <rPr>
            <sz val="11"/>
            <color theme="1"/>
            <rFont val="Calibri"/>
            <family val="2"/>
          </rPr>
          <t>Preliminary rationale: Owner, usage, and dependency validation is still required.</t>
        </r>
      </text>
    </comment>
  </commentList>
</comments>
</file>

<file path=xl/sharedStrings.xml><?xml version="1.0" encoding="utf-8"?>
<sst xmlns="http://schemas.openxmlformats.org/spreadsheetml/2006/main" count="2828" uniqueCount="504">
  <si>
    <t>DatabaseID</t>
  </si>
  <si>
    <t>ServerID (link to Tab 2)</t>
  </si>
  <si>
    <t>Database Name</t>
  </si>
  <si>
    <t>SQL Version (reported)</t>
  </si>
  <si>
    <t>State</t>
  </si>
  <si>
    <t>Size (MB)</t>
  </si>
  <si>
    <t>Last Backup</t>
  </si>
  <si>
    <t>mdf</t>
  </si>
  <si>
    <t>ldf</t>
  </si>
  <si>
    <t>Environment</t>
  </si>
  <si>
    <t>Criticality</t>
  </si>
  <si>
    <t>Application / Functional Owner</t>
  </si>
  <si>
    <t>Business Purpose</t>
  </si>
  <si>
    <t>Usage Status</t>
  </si>
  <si>
    <t>Source Systems</t>
  </si>
  <si>
    <t>Source Owner</t>
  </si>
  <si>
    <t>Dependent Systems / Consumers</t>
  </si>
  <si>
    <t>Dependency Owner</t>
  </si>
  <si>
    <t>Integration / Processing</t>
  </si>
  <si>
    <t>Assessment Status</t>
  </si>
  <si>
    <t>Preliminary Disposition</t>
  </si>
  <si>
    <t>Assessment Confidence</t>
  </si>
  <si>
    <t>Discovery Source</t>
  </si>
  <si>
    <t>Open Questions / Next Action</t>
  </si>
  <si>
    <t>Notes</t>
  </si>
  <si>
    <t>RTO / RPO Required</t>
  </si>
  <si>
    <t>Maximum Downtime / Cutover Window</t>
  </si>
  <si>
    <t>Operating Window / Peak Period</t>
  </si>
  <si>
    <t>Data Classification / Regulatory Scope</t>
  </si>
  <si>
    <t>Retention Requirement</t>
  </si>
  <si>
    <t>Performance / Growth Baseline</t>
  </si>
  <si>
    <t>Technical Compatibility Constraints</t>
  </si>
  <si>
    <t>Preliminary Conclusion</t>
  </si>
  <si>
    <t>SRV-002</t>
  </si>
  <si>
    <t>SQL Server 2016</t>
  </si>
  <si>
    <t>ONLINE</t>
  </si>
  <si>
    <t>Development</t>
  </si>
  <si>
    <t>Low</t>
  </si>
  <si>
    <t>Unknown</t>
  </si>
  <si>
    <t>Pending Analysis</t>
  </si>
  <si>
    <t>TBD</t>
  </si>
  <si>
    <t>Linked Server Analysis</t>
  </si>
  <si>
    <t>Not Assessed</t>
  </si>
  <si>
    <t>Decommission</t>
  </si>
  <si>
    <t>Staging/UAT</t>
  </si>
  <si>
    <t>Technical Owner Interview</t>
  </si>
  <si>
    <t>Staging / UAT database.</t>
  </si>
  <si>
    <t>Completed</t>
  </si>
  <si>
    <t>Medium</t>
  </si>
  <si>
    <t>SRV-006</t>
  </si>
  <si>
    <t>Pending validation</t>
  </si>
  <si>
    <t>Purpose not confirmed.</t>
  </si>
  <si>
    <t>SQL Server Inspection</t>
  </si>
  <si>
    <t>SRV-015</t>
  </si>
  <si>
    <t>BB_DATA</t>
  </si>
  <si>
    <t>SQL Server 2019</t>
  </si>
  <si>
    <t>7/14/2026 3:42</t>
  </si>
  <si>
    <t>Production</t>
  </si>
  <si>
    <t>High</t>
  </si>
  <si>
    <t>Active</t>
  </si>
  <si>
    <t>In Progress</t>
  </si>
  <si>
    <t>BB_PROCESS_DATA</t>
  </si>
  <si>
    <t>Not in Use</t>
  </si>
  <si>
    <t>SRV-026</t>
  </si>
  <si>
    <t>AXIOM</t>
  </si>
  <si>
    <t>Pending Validation</t>
  </si>
  <si>
    <t>Modernize</t>
  </si>
  <si>
    <t>B2BTXWEBAPP</t>
  </si>
  <si>
    <t>BAC_BRAD_prod</t>
  </si>
  <si>
    <t>Critical</t>
  </si>
  <si>
    <t>BAC_BRAD_stage</t>
  </si>
  <si>
    <t>BAC_DI</t>
  </si>
  <si>
    <t>Low Usage</t>
  </si>
  <si>
    <t>BAC_DI_STAGE</t>
  </si>
  <si>
    <t>Technical Documentation</t>
  </si>
  <si>
    <t>BAC_DM</t>
  </si>
  <si>
    <t>OFFLINE</t>
  </si>
  <si>
    <t>BACMasterDB</t>
  </si>
  <si>
    <t>BBFB_WIRES</t>
  </si>
  <si>
    <t>BCP_Global_IBKR_prod</t>
  </si>
  <si>
    <t>BCP_Global_IBKR_stage</t>
  </si>
  <si>
    <t>BFI_INTG_prod</t>
  </si>
  <si>
    <t>BFI_INTG_stage</t>
  </si>
  <si>
    <t>BRAD_RISK_RPRT</t>
  </si>
  <si>
    <t>QA</t>
  </si>
  <si>
    <t>Offline database; business purpose not confirmed.</t>
  </si>
  <si>
    <t>BRAD_RPRT</t>
  </si>
  <si>
    <t>BRAD_RPRT_dev</t>
  </si>
  <si>
    <t>BRAD_RPRT_stage</t>
  </si>
  <si>
    <t>Consolidated_Reports_Stage</t>
  </si>
  <si>
    <t>Consolidated_Statements</t>
  </si>
  <si>
    <t>Dev_BBDesk</t>
  </si>
  <si>
    <t>EWF_DB</t>
  </si>
  <si>
    <t>INNOVA_ADI</t>
  </si>
  <si>
    <t>PERSHING_DATA_PROD</t>
  </si>
  <si>
    <t>PERSHING_DATA_STAGE</t>
  </si>
  <si>
    <t>RM_RO</t>
  </si>
  <si>
    <t>TRANSACT_prod</t>
  </si>
  <si>
    <t>TRANSACT_stage</t>
  </si>
  <si>
    <t>DB-126</t>
  </si>
  <si>
    <t>SRV-029</t>
  </si>
  <si>
    <t>ALERT_FILE_DB</t>
  </si>
  <si>
    <t>7/14/2026 3:17</t>
  </si>
  <si>
    <t>C:\Program Files\Microsoft SQL Server\MSSQL16.MSSQLSERVER\MSSQL\DATA\ALERT_FILE_DB.mdf</t>
  </si>
  <si>
    <t>C:\Program Files\Microsoft SQL Server\MSSQL16.MSSQLSERVER\MSSQL\DATA\ALERT_FILE_DB_log.ldf</t>
  </si>
  <si>
    <t>Renan Silva</t>
  </si>
  <si>
    <t>DB-127</t>
  </si>
  <si>
    <t>ASSIST_IMP_RPTS</t>
  </si>
  <si>
    <t>C:\Program Files\Microsoft SQL Server\MSSQL16.MSSQLSERVER\MSSQL\DATA\ASSIST_IMP_RPTS.mdf</t>
  </si>
  <si>
    <t>C:\Program Files\Microsoft SQL Server\MSSQL16.MSSQLSERVER\MSSQL\DATA\ASSIST_IMP_RPTS_log.ldf</t>
  </si>
  <si>
    <t>LIVELO</t>
  </si>
  <si>
    <t>DB-129</t>
  </si>
  <si>
    <t>MISC</t>
  </si>
  <si>
    <t>C:\Program Files\Microsoft SQL Server\MSSQL16.MSSQLSERVER\MSSQL\DATA\misc.mdf</t>
  </si>
  <si>
    <t>C:\Program Files\Microsoft SQL Server\MSSQL16.MSSQLSERVER\MSSQL\DATA\misc_log.ldf</t>
  </si>
  <si>
    <t>SRV-036</t>
  </si>
  <si>
    <t>WFServer</t>
  </si>
  <si>
    <t>WFServerReporting</t>
  </si>
  <si>
    <t>DB-131</t>
  </si>
  <si>
    <t>SRV-052</t>
  </si>
  <si>
    <t>AS400_STAGE</t>
  </si>
  <si>
    <t>7/14/2026 3:57</t>
  </si>
  <si>
    <t>C:\Program Files\Microsoft SQL Server\MSSQL15.MSSQLSERVER\MSSQL\DATA\AS400_STAGE.mdf</t>
  </si>
  <si>
    <t>C:\Program Files\Microsoft SQL Server\MSSQL15.MSSQLSERVER\MSSQL\DATA\AS400_STAGE_log.ldf</t>
  </si>
  <si>
    <t>NA</t>
  </si>
  <si>
    <t>DB-139</t>
  </si>
  <si>
    <t>BAC_Collections</t>
  </si>
  <si>
    <t>C:\Program Files\Microsoft SQL Server\MSSQL15.MSSQLSERVER\MSSQL\DATA\BAC_Collections.mdf</t>
  </si>
  <si>
    <t>C:\Program Files\Microsoft SQL Server\MSSQL15.MSSQLSERVER\MSSQL\DATA\BAC_Collections_1.ldf</t>
  </si>
  <si>
    <t>DB-143</t>
  </si>
  <si>
    <t>C:\Program Files\Microsoft SQL Server\MSSQL15.MSSQLSERVER\MSSQL\DATA\BB_DATA.mdf</t>
  </si>
  <si>
    <t>C:\Program Files\Microsoft SQL Server\MSSQL15.MSSQLSERVER\MSSQL\DATA\BB_DATA_log.ldf</t>
  </si>
  <si>
    <t>DB-144</t>
  </si>
  <si>
    <t>BB_DATA_AUX</t>
  </si>
  <si>
    <t>C:\Program Files\Microsoft SQL Server\MSSQL15.MSSQLSERVER\MSSQL\DATA\BB_DATA_AUX.mdf</t>
  </si>
  <si>
    <t>C:\Program Files\Microsoft SQL Server\MSSQL15.MSSQLSERVER\MSSQL\DATA\BB_DATA_AUX_log.ldf</t>
  </si>
  <si>
    <t>DB-145</t>
  </si>
  <si>
    <t>C:\Program Files\Microsoft SQL Server\MSSQL15.MSSQLSERVER\MSSQL\DATA\BB_PROCESS.mdf</t>
  </si>
  <si>
    <t>C:\Program Files\Microsoft SQL Server\MSSQL15.MSSQLSERVER\MSSQL\DATA\BB_PROCESS_log.ldf</t>
  </si>
  <si>
    <t>DB-158</t>
  </si>
  <si>
    <t>NICE</t>
  </si>
  <si>
    <t>C:\Program Files\Microsoft SQL Server\MSSQL15.MSSQLSERVER\MSSQL\DATA\NICE.mdf</t>
  </si>
  <si>
    <t>C:\Program Files\Microsoft SQL Server\MSSQL15.MSSQLSERVER\MSSQL\DATA\NICE_log.ldf</t>
  </si>
  <si>
    <t>DB-162</t>
  </si>
  <si>
    <t>ReportServer_STAGE</t>
  </si>
  <si>
    <t>C:\Program Files\Microsoft SQL Server\MSSQL13.MSSQLSERVER\MSSQL\DATA\ReportServer_STAGE.mdf</t>
  </si>
  <si>
    <t>C:\Program Files\Microsoft SQL Server\MSSQL13.MSSQLSERVER\MSSQL\DATA\ReportServer_STAGE_1.LDF</t>
  </si>
  <si>
    <t>DB-167</t>
  </si>
  <si>
    <t>C:\Program Files\Microsoft SQL Server\MSSQL15.MSSQLSERVER\MSSQL\DATA\WFServer_Primary.mdf</t>
  </si>
  <si>
    <t>C:\Program Files\Microsoft SQL Server\MSSQL15.MSSQLSERVER\MSSQL\DATA\WFServer_Primary.ldf</t>
  </si>
  <si>
    <t>DB-168</t>
  </si>
  <si>
    <t>C:\Program Files\Microsoft SQL Server\MSSQL15.MSSQLSERVER\MSSQL\DATA\WFServerReporting_Primary.mdf</t>
  </si>
  <si>
    <t>C:\Program Files\Microsoft SQL Server\MSSQL15.MSSQLSERVER\MSSQL\DATA\WFServerReporting_Primary.ldf</t>
  </si>
  <si>
    <t>SRV-053</t>
  </si>
  <si>
    <t>SQL Server 2022</t>
  </si>
  <si>
    <t>DB-125</t>
  </si>
  <si>
    <t>SRV-054</t>
  </si>
  <si>
    <t>DigitalBanking_PROD</t>
  </si>
  <si>
    <t>7/14/2026 4:04</t>
  </si>
  <si>
    <t>D:\MSSQLSERVER\MSSQL\Data\DigitalBanking_PROD.mdf</t>
  </si>
  <si>
    <t>E:\MSSQLSERVER\MSSQL\Log\DigitalBanking_PROD_log.ldf</t>
  </si>
  <si>
    <t>SRV-055</t>
  </si>
  <si>
    <t>SRV-056</t>
  </si>
  <si>
    <t>NULL</t>
  </si>
  <si>
    <t>Upgrade / Remediate</t>
  </si>
  <si>
    <t>SRV-057</t>
  </si>
  <si>
    <t>SRV-058</t>
  </si>
  <si>
    <t>SRV-019</t>
  </si>
  <si>
    <t>BankTect</t>
  </si>
  <si>
    <t>DB-191</t>
  </si>
  <si>
    <t>BankTect-VE</t>
  </si>
  <si>
    <t>SRV-024</t>
  </si>
  <si>
    <t>DB-193</t>
  </si>
  <si>
    <t>DB-194</t>
  </si>
  <si>
    <t>DB-195</t>
  </si>
  <si>
    <t>DB-196</t>
  </si>
  <si>
    <t>DB-197</t>
  </si>
  <si>
    <t>DB-198</t>
  </si>
  <si>
    <t>SRV-035</t>
  </si>
  <si>
    <t>DB-220</t>
  </si>
  <si>
    <t>SRV-038</t>
  </si>
  <si>
    <t>DB-221</t>
  </si>
  <si>
    <t>DB-222</t>
  </si>
  <si>
    <t>DB-223</t>
  </si>
  <si>
    <t>DB-224</t>
  </si>
  <si>
    <t>DB-225</t>
  </si>
  <si>
    <t>DB-226</t>
  </si>
  <si>
    <t>DB-227</t>
  </si>
  <si>
    <t>DB-228</t>
  </si>
  <si>
    <t>DB-229</t>
  </si>
  <si>
    <t>DB-230</t>
  </si>
  <si>
    <t>DB-231</t>
  </si>
  <si>
    <t>DB-232</t>
  </si>
  <si>
    <t>DB-233</t>
  </si>
  <si>
    <t>DB-234</t>
  </si>
  <si>
    <t>DB-235</t>
  </si>
  <si>
    <t>DB-236</t>
  </si>
  <si>
    <t>DB-237</t>
  </si>
  <si>
    <t>DB-238</t>
  </si>
  <si>
    <t>DB-239</t>
  </si>
  <si>
    <t>DB-240</t>
  </si>
  <si>
    <t>DB-241</t>
  </si>
  <si>
    <t>DB-242</t>
  </si>
  <si>
    <t>DR</t>
  </si>
  <si>
    <t>DB-243</t>
  </si>
  <si>
    <t>DB-244</t>
  </si>
  <si>
    <t>DB-245</t>
  </si>
  <si>
    <t>DB-246</t>
  </si>
  <si>
    <t>DB-247</t>
  </si>
  <si>
    <t>SRV-039</t>
  </si>
  <si>
    <t>BBFB_PROLOGUE_2021</t>
  </si>
  <si>
    <t>DB-248</t>
  </si>
  <si>
    <t>eTransHistory</t>
  </si>
  <si>
    <t>DB-249</t>
  </si>
  <si>
    <t>eTransXpress</t>
  </si>
  <si>
    <t>DB-250</t>
  </si>
  <si>
    <t>etxAudit</t>
  </si>
  <si>
    <t>SRV-048</t>
  </si>
  <si>
    <t>DB-275</t>
  </si>
  <si>
    <t>SRV-009</t>
  </si>
  <si>
    <t>AppVolManager</t>
  </si>
  <si>
    <t>DB-276</t>
  </si>
  <si>
    <t>HorizonEvents</t>
  </si>
  <si>
    <t>SRV-014</t>
  </si>
  <si>
    <t>SRV-017</t>
  </si>
  <si>
    <t>DB-288</t>
  </si>
  <si>
    <t>SRV-041</t>
  </si>
  <si>
    <t>ReportServer</t>
  </si>
  <si>
    <t>DB-289</t>
  </si>
  <si>
    <t>ReportServerTempDB</t>
  </si>
  <si>
    <t>ServerID</t>
  </si>
  <si>
    <t>In Scope (MSSQL)</t>
  </si>
  <si>
    <t># Databases (auto)</t>
  </si>
  <si>
    <t>Value lists (edit here to update the dropdowns across all tabs)</t>
  </si>
  <si>
    <t>Support Status</t>
  </si>
  <si>
    <t>HA / DR</t>
  </si>
  <si>
    <t>Readiness</t>
  </si>
  <si>
    <t>Yes/No</t>
  </si>
  <si>
    <t>Migration-Ready Statuses</t>
  </si>
  <si>
    <t>Access Level</t>
  </si>
  <si>
    <t>Technical Review Status</t>
  </si>
  <si>
    <t>Supported</t>
  </si>
  <si>
    <t>Always On AG</t>
  </si>
  <si>
    <t>Migrate</t>
  </si>
  <si>
    <t>Ready</t>
  </si>
  <si>
    <t>Yes</t>
  </si>
  <si>
    <t>Not Started</t>
  </si>
  <si>
    <t>Lift and Shift</t>
  </si>
  <si>
    <t>Read Only</t>
  </si>
  <si>
    <t>Extended Support</t>
  </si>
  <si>
    <t>Failover Cluster</t>
  </si>
  <si>
    <t>Ready with Remediation</t>
  </si>
  <si>
    <t>No</t>
  </si>
  <si>
    <t>Rehost</t>
  </si>
  <si>
    <t>Available - Scope Not Confirmed</t>
  </si>
  <si>
    <t>End of Support (EOS)</t>
  </si>
  <si>
    <t>Mirroring</t>
  </si>
  <si>
    <t>Retain</t>
  </si>
  <si>
    <t>Needs Investigation</t>
  </si>
  <si>
    <t>To confirm</t>
  </si>
  <si>
    <t>In progress</t>
  </si>
  <si>
    <t>Replatform</t>
  </si>
  <si>
    <t>Transitioning</t>
  </si>
  <si>
    <t>No Access</t>
  </si>
  <si>
    <t>Log Shipping</t>
  </si>
  <si>
    <t>Consolidate</t>
  </si>
  <si>
    <t>Not Recommended</t>
  </si>
  <si>
    <t>Blocked</t>
  </si>
  <si>
    <t>None Detected</t>
  </si>
  <si>
    <t>Infrastructure Team / Documentation</t>
  </si>
  <si>
    <t>Vendor Confirmation</t>
  </si>
  <si>
    <t>Inference</t>
  </si>
  <si>
    <t>Server (Hostname)</t>
  </si>
  <si>
    <t>IP</t>
  </si>
  <si>
    <t>Location</t>
  </si>
  <si>
    <t>Network</t>
  </si>
  <si>
    <t>Engine / Product</t>
  </si>
  <si>
    <t>Edition</t>
  </si>
  <si>
    <t>Technical Owner</t>
  </si>
  <si>
    <t>Business Owner</t>
  </si>
  <si>
    <t>Validation Method</t>
  </si>
  <si>
    <t># DBs with Preliminary Disposition (auto)</t>
  </si>
  <si>
    <t>Notes (2)</t>
  </si>
  <si>
    <t>Access / Evidence Limitation</t>
  </si>
  <si>
    <t>Required Follow-up</t>
  </si>
  <si>
    <t>SRV-001</t>
  </si>
  <si>
    <t>BACBFBSITE</t>
  </si>
  <si>
    <t>172.26.6.10
172.26.6.11
172.26.6.12</t>
  </si>
  <si>
    <t>Orlando</t>
  </si>
  <si>
    <t>DMZ</t>
  </si>
  <si>
    <t>MySQL Server 8.0</t>
  </si>
  <si>
    <t>-</t>
  </si>
  <si>
    <t>Non-MSSQL product detected</t>
  </si>
  <si>
    <t>No SQL Server assessment required unless the scope changes.</t>
  </si>
  <si>
    <t>No follow-up required for the SQL Server migration assessment.</t>
  </si>
  <si>
    <t>BACBPTRANSDB1</t>
  </si>
  <si>
    <t>172.29.5.25
172.29.5.39</t>
  </si>
  <si>
    <t>NAP</t>
  </si>
  <si>
    <t>Microsoft SQL Server 2016 (64-bit)</t>
  </si>
  <si>
    <t>Standard</t>
  </si>
  <si>
    <t>IT Operations Team, Renan Silva</t>
  </si>
  <si>
    <t>Devs</t>
  </si>
  <si>
    <t>It's hosted in the DMZ.  It contains databases used for development.</t>
  </si>
  <si>
    <t xml:space="preserve">2026-07-30: validate with Rodney:
- Validate if exists any additional instance different than the default (2026-07-31: validated with Rodney, It has no additional instances)
2026-07-30: contact Renan Silva
</t>
  </si>
  <si>
    <t>Instance configuration, databases, jobs, feature usage, performance, backup, and HA/DR could not be validated directly.</t>
  </si>
  <si>
    <t>Request controlled read-only access or a validated technical extract from Infrastructure or the vendor.</t>
  </si>
  <si>
    <t>SRV-003</t>
  </si>
  <si>
    <t>MongoDB 8.2.6 2008R2Plus SSL (64 bit)</t>
  </si>
  <si>
    <t>IT Operations Team</t>
  </si>
  <si>
    <t>SRV-004</t>
  </si>
  <si>
    <t>SRV-005</t>
  </si>
  <si>
    <t>BACNAPIT\SQLEXPRESS</t>
  </si>
  <si>
    <t>10.198.5.190</t>
  </si>
  <si>
    <t>Server</t>
  </si>
  <si>
    <t>Microsoft SQL Server 2012 (64-bit)</t>
  </si>
  <si>
    <t>Express</t>
  </si>
  <si>
    <t>2026-07-29: Validated with Rodney Laurent: 
- SSMS not installed</t>
  </si>
  <si>
    <t>2026-07-30: validate with Rodney:
- Using SSMS from outside the server
- Validate if exists any additional instance different than the default
2026-07-31: contact Caddiel Campos regarding more information for BACNAPIT\VEEAMSQL2012 (database VeeamBackup)</t>
  </si>
  <si>
    <t>SRV-007</t>
  </si>
  <si>
    <t>BACSANSRV</t>
  </si>
  <si>
    <t>10.198.5.131
10.198.5.132</t>
  </si>
  <si>
    <t>Microsoft SQL Server Compact 4.0 SP1 x64 ENU</t>
  </si>
  <si>
    <t>2026-07-29: Validated with Rodney Laurent: No business databases found.  Flag it as Out of Scope</t>
  </si>
  <si>
    <t>SQL Compact</t>
  </si>
  <si>
    <t>Microsoft SQL Server 2017 (64-bit)</t>
  </si>
  <si>
    <t>2026-07-29: Data warehouse databases.</t>
  </si>
  <si>
    <t>2026-07-30: validate with Rodney:
- Who is the Technical Owner so I can contact them?
2026-07-30: A query was sent to Eric to determine whether it is a data warehouse (DW) and whether it falls outside the scope (2026-07-31: Eric has not knowledge about those databases)
2026-07-31: Rodney indicates to contact Fabiano</t>
  </si>
  <si>
    <t>Access is available, but the technical review is incomplete; instance-level features and performance evidence remain pending.</t>
  </si>
  <si>
    <t>Complete the instance inventory and validate features, jobs, performance, HA/DR, backups, security, and connectivity.</t>
  </si>
  <si>
    <t>SRV-008</t>
  </si>
  <si>
    <t>BBFBDATAPARSER</t>
  </si>
  <si>
    <t>10.198.5.214</t>
  </si>
  <si>
    <t>2026-07-29: Validated with Rodney Laurent:
- The default instance is empty
2026-07-31: Validated with Rodney Laurent: No business databases found.</t>
  </si>
  <si>
    <t xml:space="preserve">2026-07-30: validate with Rodney:
- Validate if exists any additional instance different than the default (2026-07-31: validated with Rodney, It has no additional instances)
</t>
  </si>
  <si>
    <t>BBFBDBVIEW</t>
  </si>
  <si>
    <t>10.196.5.31</t>
  </si>
  <si>
    <t>Microsoft SQL Server 2019 (64-bit)</t>
  </si>
  <si>
    <t>2026-07-30: 
- 2 databases (AppVolManager, HorizonEvents)</t>
  </si>
  <si>
    <t>2026-07-30: validate with Rodney:
- Validate if exists any additional instance different than the default (2026-07-31: validated with Rodney, It has no additional instances)
- Who is the Technical Owner so I can contact them? 
2026-07-31: contact Renan Silva</t>
  </si>
  <si>
    <t>SRV-010</t>
  </si>
  <si>
    <t>BBFBINTRANET</t>
  </si>
  <si>
    <t>10.198.5.141
10.198.5.140</t>
  </si>
  <si>
    <t>2026-07-29: Validated with Rodney Laurent:
- Non-MSSQL product detected</t>
  </si>
  <si>
    <t>SRV-011</t>
  </si>
  <si>
    <t>BB-FW-AP-001</t>
  </si>
  <si>
    <t>10.20.100.25</t>
  </si>
  <si>
    <t>Coral Gables</t>
  </si>
  <si>
    <t>Microsoft SQL Server Compact 4.0 x64 ENU</t>
  </si>
  <si>
    <t>2026-07-29: Validated with Rodney Laurent:
- No business databases found</t>
  </si>
  <si>
    <t>SRV-012</t>
  </si>
  <si>
    <t>bb-vl-ap-051</t>
  </si>
  <si>
    <t>10.198.5.26</t>
  </si>
  <si>
    <t>Mariadb-server</t>
  </si>
  <si>
    <t>Mariadb</t>
  </si>
  <si>
    <t>SRV-013</t>
  </si>
  <si>
    <t>BB-VV-AP-004</t>
  </si>
  <si>
    <t>10.198.5.127</t>
  </si>
  <si>
    <t>2026-07-30: Validated with Rodney Laurent:
- The default instance is empty
2026-07-31: Validated with Rodney Laurent:
- No business databases found</t>
  </si>
  <si>
    <t>2026-07-30: validate with Rodney:
- Validate if exists any additional instance different than the default (2026-07-31: validated with Rodney, It has no additional instances)</t>
  </si>
  <si>
    <t>BB-VV-AP-009</t>
  </si>
  <si>
    <t>10.198.5.149</t>
  </si>
  <si>
    <t>Finance</t>
  </si>
  <si>
    <t xml:space="preserve">2026-07-30: 
- 1 database (BB_PROLOGUE)
</t>
  </si>
  <si>
    <t>2026-07-30: validate with Rodney:
- Validate if exists any additional instance different than the default (2026-07-31: validated with Rodney, It has no additional instances)
- Who is the Technical Owner so I can contact them?
2026-07-31: contact Caddiel Campos/Paul Ippolito - Vendor: Prologue</t>
  </si>
  <si>
    <t>BB-VV-BD-001</t>
  </si>
  <si>
    <t>10.198.5.71</t>
  </si>
  <si>
    <t>IT Operations Team, Eric</t>
  </si>
  <si>
    <t>DataWarehouse</t>
  </si>
  <si>
    <t>MSSQL detected</t>
  </si>
  <si>
    <t>2026-07-30: validate with Rodney:
- Validate if exists any additional instance different than the default (2026-07-31: validated with Rodney, It has no additional instances)
- Who is the Technical Owner so I can contact them?
2026-07-31: contact Eric (in decomission), sera reemplazada por la BB-VV-BD-001</t>
  </si>
  <si>
    <t>SRV-042</t>
  </si>
  <si>
    <t>Microsoft SQL Server 2016 LocalDB</t>
  </si>
  <si>
    <t>BB-VV-BD-004</t>
  </si>
  <si>
    <t>10.198.5.144</t>
  </si>
  <si>
    <t>Operations Deparment</t>
  </si>
  <si>
    <t>2026-07-30:
- 10 databases</t>
  </si>
  <si>
    <t>2026-07-30: validate with Rodney:
- Validate if exists any additional instance different than the default (2026-07-31: validated with Rodney, It has no additional instances)
- Who is the Technical Owner so I can contact them?
2026-07-31: Vendor: Synergy, (JHA) Jack Henry Product, Technical Owner: Rodney Laurent, Caddiel and Infra</t>
  </si>
  <si>
    <t>BB-VV-BD-005</t>
  </si>
  <si>
    <t>2026-07-30:
- 1 database (DigitalBanking_PROD)</t>
  </si>
  <si>
    <t>2026-07-30: Consulté a Rodney si podemos tener acceso
2026-07-30: validate with Rodney:
- Validate if exists any additional instance different than the default (2026-07-31: Rodney has not access to validate if exists additional instances)
- Who is the Technical Owner so I can contact them?
2026-07-31: contact Renan Silva</t>
  </si>
  <si>
    <t>BB-VV-BD-006</t>
  </si>
  <si>
    <t>10.198.5.148</t>
  </si>
  <si>
    <t>Microsoft SQL Server 2022 (64-bit)</t>
  </si>
  <si>
    <t>Other Team</t>
  </si>
  <si>
    <t>2026-07-30: validate with Rodney:
- Validate if exists any additional instance different than the default (2026-07-31: Rodney has not access to validate if exists additional instances)
- Who is the Technical Owner so I can contact them?
2026-07-31: contact Renan Silva</t>
  </si>
  <si>
    <t>BB-VV-BD-008</t>
  </si>
  <si>
    <t>2027-07-28: Rodney flag this server as red (No SQL Database Installed), but we have detected 5 databases there</t>
  </si>
  <si>
    <t>2026-07-30: validate with Rodney:
- Validate if exists any additional instance different than the default (2026-07-31: Rodney has not permission to connect)
2026-07-31: contact Renan Silva</t>
  </si>
  <si>
    <t>SRV-018</t>
  </si>
  <si>
    <t>BB-VV-DC-001</t>
  </si>
  <si>
    <t>10.198.5.69
10.198.5.134
10.198.5.192</t>
  </si>
  <si>
    <t>Infrastructure Team</t>
  </si>
  <si>
    <t>SRV-016</t>
  </si>
  <si>
    <t>BB-VV-HV-001</t>
  </si>
  <si>
    <t>10.198.5.179</t>
  </si>
  <si>
    <t>2026-07-28: Rodney Laurent: No SQL Database Installed</t>
  </si>
  <si>
    <t>2026-07-30: validate with Rodney:
- Rodney got an error: The database svmanager_production is not accessible (instance SQLEXPRESS)
- Rodney's recommendation: Ask Renan about server
- Using SSMS from outside the server
- Validate if exists any additional instance different than the default (2026-07-31: Rodney has not access to validate if exists additional instances)
2026-07-31: contact Renan Silva</t>
  </si>
  <si>
    <t>SRV-020</t>
  </si>
  <si>
    <t>2026-07-28: Rodney Laurent: No SQL Database Installed
2026-07-31: Validated with Rodney Laurent:
- No business databases found</t>
  </si>
  <si>
    <t>SRV-021</t>
  </si>
  <si>
    <t>BB-VV-SG-002</t>
  </si>
  <si>
    <t>10.196.5.12</t>
  </si>
  <si>
    <t>Corporate Security</t>
  </si>
  <si>
    <t>SRV-022</t>
  </si>
  <si>
    <t>2026-07-29: Validated with Rodney Laurent: 
- SSMS not installed
2026-07-31: Validated with Rodney Laurent: do not have any SQL/database installed</t>
  </si>
  <si>
    <t>2026-07-30: validate with Rodney:
- Using SSMS from outside the server
- Validate if exists any additional instance different than the default
2026-07-31: validated with Rodney, there is no connection with SQL Server</t>
  </si>
  <si>
    <t>SRV-023</t>
  </si>
  <si>
    <t>BB-VV-WS-002</t>
  </si>
  <si>
    <t>172.29.5.42</t>
  </si>
  <si>
    <t>MySQL Server 8.4</t>
  </si>
  <si>
    <t>BFBASSIST</t>
  </si>
  <si>
    <t>10.198.5.104</t>
  </si>
  <si>
    <t>IT Operations Team, Yanniel</t>
  </si>
  <si>
    <t>BSA</t>
  </si>
  <si>
    <t>SRV-025</t>
  </si>
  <si>
    <t>Microsoft SQL Server 2012 Express LocalDB</t>
  </si>
  <si>
    <t>Duplicate 
2026-07-31: Validated with Rodney Laurent:
- No business databases found</t>
  </si>
  <si>
    <t>BFBASSIST-UAT</t>
  </si>
  <si>
    <t>10.198.5.6</t>
  </si>
  <si>
    <t>SRV-028</t>
  </si>
  <si>
    <t xml:space="preserve">Duplicate </t>
  </si>
  <si>
    <t>BFBDSNAP</t>
  </si>
  <si>
    <t>192.168.105.10
169.254.149.78</t>
  </si>
  <si>
    <t>PCI</t>
  </si>
  <si>
    <t>2026-07-28: Rodney Laurent informed: No SQL Database Installed</t>
  </si>
  <si>
    <t>2026-07-30: validate with Rodney:
- Using SSMS from outside the server
- Validate if exists any additional instance different than the default
2026-07-31: validated with Rodney: corporate security
2026-07-30: contact Renan Silva, Fabiano</t>
  </si>
  <si>
    <t>SRV-044</t>
  </si>
  <si>
    <t>Duplicate</t>
  </si>
  <si>
    <t>SRV-031</t>
  </si>
  <si>
    <t>BFBFEDLINK</t>
  </si>
  <si>
    <t>10.198.5.128</t>
  </si>
  <si>
    <t>IT Operations Team, Vendor</t>
  </si>
  <si>
    <t>2026-07-28:
- Rodney Laurent: servers managed by the vendor</t>
  </si>
  <si>
    <t>2026-07-30: validate with Rodney:
- Managed by the vendor</t>
  </si>
  <si>
    <t>BFB-FEDLINK</t>
  </si>
  <si>
    <t>SRV-032</t>
  </si>
  <si>
    <t>BFBFEDLINKORL</t>
  </si>
  <si>
    <t>10.196.5.24</t>
  </si>
  <si>
    <t>SRV-033</t>
  </si>
  <si>
    <t>BFBJXSERVER1</t>
  </si>
  <si>
    <t>10.198.5.170
10.198.5.221</t>
  </si>
  <si>
    <t>Microsoft SQL Server Compact 3.5 SP2 ENU</t>
  </si>
  <si>
    <t>2026-07-28:
- Rodney Laurent: do not have any SQL/database installed</t>
  </si>
  <si>
    <t>SRV-034</t>
  </si>
  <si>
    <t>BFBJXSERVER2</t>
  </si>
  <si>
    <t>10.198.5.171
10.198.5.222</t>
  </si>
  <si>
    <t>BFBJXSERVERDB\JXCHANGE</t>
  </si>
  <si>
    <t>10.198.5.108</t>
  </si>
  <si>
    <t>IT Operations Team, Caddiel Campos</t>
  </si>
  <si>
    <t>2026-07-30: validate with Rodney:
- Who is the Technical Owner so I can contact them?
2026-07-31: JX Jack Henry, Vendor: JHA, Caddiel Campos</t>
  </si>
  <si>
    <t>BFBJXWORKFLOWDB</t>
  </si>
  <si>
    <t>10.198.5.37</t>
  </si>
  <si>
    <t>2026-07-30: validate with Rodney:
- Who is the Technical Owner so I can contact them?
2026-07-31: JX Jack Henry, Vendor: JHA</t>
  </si>
  <si>
    <t>SRV-037</t>
  </si>
  <si>
    <t>BFBKAS</t>
  </si>
  <si>
    <t>10.198.5.94</t>
  </si>
  <si>
    <t>2026-07-30: validate with Rodney:
- Validate if exists any additional instance different than the default (2026-07-31: Rodney has not access to validate if exists additional instances)</t>
  </si>
  <si>
    <t>BFBNAPDB</t>
  </si>
  <si>
    <t>10.198.5.205</t>
  </si>
  <si>
    <t>2026-07-30: validate with Rodney:
- Validate if exists any additional instance different than the default (2026-07-31: validated with Rodney, It has no additional instances)
2026-07-30: contact Renan Silva</t>
  </si>
  <si>
    <t>SRV-040</t>
  </si>
  <si>
    <t>SRV-046</t>
  </si>
  <si>
    <t>Same server as SRV-026</t>
  </si>
  <si>
    <t>SRV-027</t>
  </si>
  <si>
    <t>BFBNAPLC</t>
  </si>
  <si>
    <t>10.198.5.95</t>
  </si>
  <si>
    <t>Operations Deparment | BSA</t>
  </si>
  <si>
    <t>SRV-030</t>
  </si>
  <si>
    <t>BFBOFACAPI</t>
  </si>
  <si>
    <t>172.29.5.26</t>
  </si>
  <si>
    <t>SRV-043</t>
  </si>
  <si>
    <t>BFBOFACORL</t>
  </si>
  <si>
    <t>10.196.5.28</t>
  </si>
  <si>
    <t>BFBORLDB</t>
  </si>
  <si>
    <t>10.196.5.205</t>
  </si>
  <si>
    <t>2026-07-30: validate with Rodney:
- Who is the Technical Owner so I can contact them? (2026-07-31: Rodney don't know the TO)
2026-07-31: contact Renan Silva</t>
  </si>
  <si>
    <t>SRV-045</t>
  </si>
  <si>
    <t>BFBORLLC</t>
  </si>
  <si>
    <t>10.196.5.210</t>
  </si>
  <si>
    <t>2026-07-30: validate with Rodney:
- Who is the Technical Owner so I can contact them?
2026-07-31: contact Renan Silva</t>
  </si>
  <si>
    <t>BFBREPORTS</t>
  </si>
  <si>
    <t>10.198.5.189</t>
  </si>
  <si>
    <t>BFBSYNDB</t>
  </si>
  <si>
    <t>10.198.5.225</t>
  </si>
  <si>
    <t>2026-07-30: validate with Rodney:
- Who is the Technical Owner so I can contact them?
- Validate if exists any additional instance different than the default (2026-07-31: Rodney has not access to validate if exists additional instances)
2026-07-31: Vendor: (JHA) Jack Henry Product, Technical Owner: contact Rodney Laurent, Caddiel and Infra</t>
  </si>
  <si>
    <t>SRV-049</t>
  </si>
  <si>
    <t>BFBWEBDEV</t>
  </si>
  <si>
    <t>10.196.5.92
10.196.5.90
10.196.5.91</t>
  </si>
  <si>
    <t>2026-07-30: validate with Rodney:
- Using SSMS from outside the server
- Validate if exists any additional instance different than the default
2026-07-30: contact Renan Silva</t>
  </si>
  <si>
    <t>SRV-050</t>
  </si>
  <si>
    <t>MySQL Server 5.7</t>
  </si>
  <si>
    <t>SRV-051</t>
  </si>
  <si>
    <t>EBANCWEB1</t>
  </si>
  <si>
    <t>172.29.5.6
172.29.5.4
172.29.5.2
172.29.5.3
172.29.5.5
172.29.5.8</t>
  </si>
  <si>
    <t>sqlserver-7db9877b68-6h74t</t>
  </si>
  <si>
    <t>Devs NiFi</t>
  </si>
  <si>
    <t>2026-07-30: validate with Franco
- We have access ?
2026-07-30: contact Renan Silva</t>
  </si>
  <si>
    <t>No material access limitation is recorded; validate any remaining open questions in Notes.</t>
  </si>
  <si>
    <t>Close remaining evidence gaps and obtain owner sign-off.</t>
  </si>
  <si>
    <t>SRV-047</t>
  </si>
  <si>
    <t>UATSYNDB</t>
  </si>
  <si>
    <t>10.198.5.161</t>
  </si>
  <si>
    <t>2026-07-30: contact Renan Silva</t>
  </si>
  <si>
    <t>sqlserver-6d45bcd4bf-vz9k2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</si>
</sst>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 x14ac:knownFonts="1">
    <font>
      <sz val="11"/>
      <color theme="1"/>
      <name val="Calibri"/>
      <charset val="1"/>
    </font>
    <font>
      <sz val="9"/>
      <color theme="1"/>
      <name val="Arial"/>
      <family val="2"/>
    </font>
    <font>
      <b/>
      <sz val="12"/>
      <color rgb="FF1F3255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FFFFF"/>
        <bgColor rgb="FFEFF3F8"/>
      </patternFill>
    </fill>
    <fill>
      <patternFill patternType="solid">
        <fgColor rgb="FFEFF3F8"/>
        <bgColor rgb="FFF2F2F2"/>
      </patternFill>
    </fill>
    <fill>
      <patternFill patternType="solid">
        <fgColor rgb="FF1F3255"/>
        <bgColor rgb="FF003366"/>
      </patternFill>
    </fill>
    <fill>
      <patternFill patternType="solid">
        <fgColor rgb="FFC65911"/>
        <bgColor rgb="FFC0504D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5" borderId="0" xfId="0" applyFont="1" applyFill="1"/>
    <xf numFmtId="0" fontId="4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2" xfId="0" applyFont="1" applyFill="1" applyBorder="1" applyAlignment="1">
      <alignment vertical="top" wrapText="1"/>
    </xf>
    <xf numFmtId="0" fontId="4" fillId="2" borderId="2" xfId="0" applyFont="1" applyFill="1" applyBorder="1"/>
    <xf numFmtId="0" fontId="4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horizontal="right" vertical="center"/>
    </xf>
    <xf numFmtId="0" fontId="3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22" fontId="1" fillId="2" borderId="0" xfId="0" applyNumberFormat="1" applyFont="1" applyFill="1" applyAlignment="1">
      <alignment horizontal="right" vertical="top" wrapText="1"/>
    </xf>
    <xf numFmtId="164" fontId="1" fillId="2" borderId="0" xfId="0" applyNumberFormat="1" applyFont="1" applyFill="1" applyAlignment="1">
      <alignment vertical="top" wrapText="1"/>
    </xf>
    <xf numFmtId="0" fontId="8" fillId="2" borderId="3" xfId="0" applyFont="1" applyFill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0D3"/>
      <rgbColor rgb="FF4F81BD"/>
      <rgbColor rgb="FF9999FF"/>
      <rgbColor rgb="FFC0504D"/>
      <rgbColor rgb="FFFFF2CC"/>
      <rgbColor rgb="FFEFF3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E2F0D9"/>
      <rgbColor rgb="FFFCE5CD"/>
      <rgbColor rgb="FFD9E1F2"/>
      <rgbColor rgb="FFFCE4D6"/>
      <rgbColor rgb="FFF2F2F2"/>
      <rgbColor rgb="FFF4CCCC"/>
      <rgbColor rgb="FF3366FF"/>
      <rgbColor rgb="FF4BACC6"/>
      <rgbColor rgb="FF9BBB59"/>
      <rgbColor rgb="FFFFCC00"/>
      <rgbColor rgb="FFF79646"/>
      <rgbColor rgb="FFC65911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1F32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showGridLines="0" zoomScaleNormal="100" workbookViewId="0"/>
  </sheetViews>
  <sheetFormatPr defaultColWidth="8.7109375" defaultRowHeight="15" customHeight="1" x14ac:dyDescent="0.25"/>
  <cols>
    <col min="1" max="1" width="15.85546875" customWidth="1"/>
    <col min="2" max="2" width="18" customWidth="1"/>
    <col min="3" max="4" width="15.5703125" customWidth="1"/>
    <col min="5" max="5" width="25" customWidth="1"/>
    <col min="6" max="6" width="20.42578125" customWidth="1"/>
    <col min="7" max="7" width="37" customWidth="1"/>
    <col min="8" max="8" width="15.7109375" customWidth="1"/>
    <col min="9" max="9" width="20" customWidth="1"/>
    <col min="10" max="10" width="10" customWidth="1"/>
    <col min="11" max="11" width="22.28515625" customWidth="1"/>
    <col min="12" max="12" width="18" customWidth="1"/>
    <col min="13" max="13" width="23" customWidth="1"/>
    <col min="14" max="14" width="33" customWidth="1"/>
    <col min="15" max="15" width="25" customWidth="1"/>
  </cols>
  <sheetData>
    <row r="1" spans="1:15" ht="15.75" customHeight="1" x14ac:dyDescent="0.25">
      <c r="A1" s="1" t="s">
        <v>233</v>
      </c>
    </row>
    <row r="3" spans="1:15" x14ac:dyDescent="0.25">
      <c r="A3" s="2" t="s">
        <v>9</v>
      </c>
      <c r="B3" s="2" t="s">
        <v>234</v>
      </c>
      <c r="C3" s="2" t="s">
        <v>10</v>
      </c>
      <c r="D3" s="2" t="s">
        <v>235</v>
      </c>
      <c r="E3" s="2" t="s">
        <v>20</v>
      </c>
      <c r="F3" s="2" t="s">
        <v>236</v>
      </c>
      <c r="G3" s="2" t="s">
        <v>22</v>
      </c>
      <c r="H3" s="2" t="s">
        <v>231</v>
      </c>
      <c r="I3" s="2" t="s">
        <v>19</v>
      </c>
      <c r="J3" s="2" t="s">
        <v>237</v>
      </c>
      <c r="K3" s="2" t="s">
        <v>238</v>
      </c>
      <c r="L3" s="2" t="s">
        <v>13</v>
      </c>
      <c r="M3" s="2" t="s">
        <v>21</v>
      </c>
      <c r="N3" s="2" t="s">
        <v>239</v>
      </c>
      <c r="O3" s="2" t="s">
        <v>240</v>
      </c>
    </row>
    <row r="4" spans="1:15" x14ac:dyDescent="0.25">
      <c r="A4" s="3" t="s">
        <v>57</v>
      </c>
      <c r="B4" s="3" t="s">
        <v>241</v>
      </c>
      <c r="C4" s="3" t="s">
        <v>69</v>
      </c>
      <c r="D4" s="3" t="s">
        <v>242</v>
      </c>
      <c r="E4" s="3" t="s">
        <v>243</v>
      </c>
      <c r="F4" s="3" t="s">
        <v>244</v>
      </c>
      <c r="G4" s="3" t="s">
        <v>52</v>
      </c>
      <c r="H4" s="3" t="s">
        <v>245</v>
      </c>
      <c r="I4" s="3" t="s">
        <v>246</v>
      </c>
      <c r="J4" s="3" t="s">
        <v>245</v>
      </c>
      <c r="K4" s="3" t="s">
        <v>247</v>
      </c>
      <c r="L4" s="3" t="s">
        <v>59</v>
      </c>
      <c r="M4" s="3" t="s">
        <v>58</v>
      </c>
      <c r="N4" s="3" t="s">
        <v>248</v>
      </c>
      <c r="O4" s="3" t="s">
        <v>246</v>
      </c>
    </row>
    <row r="5" spans="1:15" x14ac:dyDescent="0.25">
      <c r="A5" s="3" t="s">
        <v>44</v>
      </c>
      <c r="B5" s="3" t="s">
        <v>249</v>
      </c>
      <c r="C5" s="3" t="s">
        <v>58</v>
      </c>
      <c r="D5" s="3" t="s">
        <v>250</v>
      </c>
      <c r="E5" s="3" t="s">
        <v>66</v>
      </c>
      <c r="F5" s="3" t="s">
        <v>251</v>
      </c>
      <c r="G5" s="3" t="s">
        <v>45</v>
      </c>
      <c r="H5" s="3" t="s">
        <v>252</v>
      </c>
      <c r="I5" s="3" t="s">
        <v>39</v>
      </c>
      <c r="J5" s="3" t="s">
        <v>252</v>
      </c>
      <c r="K5" s="3" t="s">
        <v>253</v>
      </c>
      <c r="L5" s="3" t="s">
        <v>72</v>
      </c>
      <c r="M5" s="3" t="s">
        <v>48</v>
      </c>
      <c r="N5" s="3" t="s">
        <v>254</v>
      </c>
      <c r="O5" s="3" t="s">
        <v>60</v>
      </c>
    </row>
    <row r="6" spans="1:15" x14ac:dyDescent="0.25">
      <c r="A6" s="3" t="s">
        <v>84</v>
      </c>
      <c r="B6" s="3" t="s">
        <v>255</v>
      </c>
      <c r="C6" s="3" t="s">
        <v>48</v>
      </c>
      <c r="D6" s="3" t="s">
        <v>256</v>
      </c>
      <c r="E6" s="3" t="s">
        <v>257</v>
      </c>
      <c r="F6" s="3" t="s">
        <v>258</v>
      </c>
      <c r="G6" s="3" t="s">
        <v>74</v>
      </c>
      <c r="H6" s="3" t="s">
        <v>259</v>
      </c>
      <c r="I6" s="3" t="s">
        <v>60</v>
      </c>
      <c r="J6" s="3" t="s">
        <v>260</v>
      </c>
      <c r="K6" s="3" t="s">
        <v>261</v>
      </c>
      <c r="L6" s="3" t="s">
        <v>262</v>
      </c>
      <c r="M6" s="3" t="s">
        <v>37</v>
      </c>
      <c r="N6" s="3" t="s">
        <v>263</v>
      </c>
      <c r="O6" s="3" t="s">
        <v>47</v>
      </c>
    </row>
    <row r="7" spans="1:15" x14ac:dyDescent="0.25">
      <c r="A7" s="3" t="s">
        <v>36</v>
      </c>
      <c r="B7" s="3" t="s">
        <v>38</v>
      </c>
      <c r="C7" s="3" t="s">
        <v>37</v>
      </c>
      <c r="D7" s="3" t="s">
        <v>264</v>
      </c>
      <c r="E7" s="3" t="s">
        <v>265</v>
      </c>
      <c r="F7" s="3" t="s">
        <v>266</v>
      </c>
      <c r="G7" s="3" t="s">
        <v>41</v>
      </c>
      <c r="I7" s="3" t="s">
        <v>65</v>
      </c>
      <c r="L7" s="3" t="s">
        <v>62</v>
      </c>
      <c r="M7" s="3"/>
      <c r="N7" s="3" t="s">
        <v>38</v>
      </c>
      <c r="O7" s="3" t="s">
        <v>267</v>
      </c>
    </row>
    <row r="8" spans="1:15" x14ac:dyDescent="0.25">
      <c r="A8" s="3" t="s">
        <v>203</v>
      </c>
      <c r="B8" s="3" t="s">
        <v>50</v>
      </c>
      <c r="C8" s="3" t="s">
        <v>38</v>
      </c>
      <c r="D8" s="3" t="s">
        <v>268</v>
      </c>
      <c r="E8" s="3" t="s">
        <v>43</v>
      </c>
      <c r="F8" s="3" t="s">
        <v>50</v>
      </c>
      <c r="G8" s="3" t="s">
        <v>269</v>
      </c>
      <c r="I8" s="3" t="s">
        <v>47</v>
      </c>
      <c r="L8" s="3" t="s">
        <v>38</v>
      </c>
      <c r="M8" s="3"/>
      <c r="N8" s="3"/>
      <c r="O8" s="3"/>
    </row>
    <row r="9" spans="1:15" x14ac:dyDescent="0.25">
      <c r="A9" s="3" t="s">
        <v>50</v>
      </c>
      <c r="C9" s="3" t="s">
        <v>50</v>
      </c>
      <c r="D9" s="3" t="s">
        <v>38</v>
      </c>
      <c r="E9" s="3" t="s">
        <v>164</v>
      </c>
      <c r="G9" s="3" t="s">
        <v>270</v>
      </c>
      <c r="I9" s="3" t="s">
        <v>267</v>
      </c>
      <c r="L9" s="3"/>
      <c r="M9" s="3"/>
      <c r="N9" s="3"/>
      <c r="O9" s="3"/>
    </row>
    <row r="10" spans="1:15" x14ac:dyDescent="0.25">
      <c r="A10" s="3" t="s">
        <v>124</v>
      </c>
      <c r="D10" s="3" t="s">
        <v>50</v>
      </c>
      <c r="E10" s="3" t="s">
        <v>40</v>
      </c>
      <c r="G10" s="3" t="s">
        <v>271</v>
      </c>
      <c r="I10" s="3"/>
      <c r="L10" s="3"/>
      <c r="M10" s="3"/>
      <c r="N10" s="3"/>
      <c r="O10" s="3"/>
    </row>
    <row r="11" spans="1:15" x14ac:dyDescent="0.25">
      <c r="E11" s="3"/>
      <c r="G11" s="3" t="s">
        <v>38</v>
      </c>
      <c r="I11" s="3"/>
      <c r="L11" s="3"/>
      <c r="M11" s="3"/>
      <c r="N11" s="3"/>
      <c r="O11" s="3"/>
    </row>
    <row r="12" spans="1:15" x14ac:dyDescent="0.25">
      <c r="E12" s="3"/>
      <c r="G12" s="3"/>
      <c r="I12" s="3"/>
      <c r="L12" s="3"/>
      <c r="M12" s="3"/>
      <c r="N12" s="3"/>
      <c r="O12" s="3"/>
    </row>
    <row r="13" spans="1:15" x14ac:dyDescent="0.25">
      <c r="E13" s="3"/>
      <c r="G13" s="3"/>
      <c r="I13" s="3"/>
      <c r="L13" s="3"/>
      <c r="M13" s="3"/>
      <c r="N13" s="3"/>
      <c r="O13" s="3"/>
    </row>
    <row r="14" spans="1:15" x14ac:dyDescent="0.25">
      <c r="E14" s="3"/>
      <c r="G14" s="3"/>
      <c r="I14" s="3"/>
      <c r="L14" s="3"/>
      <c r="M14" s="3"/>
      <c r="N14" s="3"/>
      <c r="O14" s="3"/>
    </row>
    <row r="15" spans="1:15" x14ac:dyDescent="0.25">
      <c r="E15" s="3"/>
      <c r="G15" s="3"/>
      <c r="I15" s="3"/>
      <c r="L15" s="3"/>
      <c r="M15" s="3"/>
      <c r="N15" s="3"/>
      <c r="O15" s="3"/>
    </row>
    <row r="16" spans="1:15" x14ac:dyDescent="0.25">
      <c r="E16" s="3"/>
      <c r="G16" s="3"/>
      <c r="I16" s="3"/>
      <c r="L16" s="3"/>
      <c r="M16" s="3"/>
      <c r="N16" s="3"/>
      <c r="O16" s="3"/>
    </row>
    <row r="17" spans="5:15" x14ac:dyDescent="0.25">
      <c r="E17" s="3"/>
      <c r="G17" s="3"/>
      <c r="I17" s="3"/>
      <c r="L17" s="3"/>
      <c r="M17" s="3"/>
      <c r="N17" s="3"/>
      <c r="O17" s="3"/>
    </row>
    <row r="18" spans="5:15" x14ac:dyDescent="0.25">
      <c r="E18" s="3"/>
      <c r="G18" s="3"/>
      <c r="I18" s="3"/>
      <c r="L18" s="3"/>
      <c r="M18" s="3"/>
      <c r="N18" s="3"/>
      <c r="O18" s="3"/>
    </row>
    <row r="19" spans="5:15" x14ac:dyDescent="0.25">
      <c r="E19" s="3"/>
      <c r="G19" s="3"/>
      <c r="I19" s="3"/>
      <c r="L19" s="3"/>
      <c r="M19" s="3"/>
      <c r="N19" s="3"/>
      <c r="O19" s="3"/>
    </row>
    <row r="20" spans="5:15" x14ac:dyDescent="0.25">
      <c r="E20" s="3"/>
      <c r="G20" s="3"/>
      <c r="I20" s="3"/>
      <c r="L20" s="3"/>
      <c r="M20" s="3"/>
      <c r="N20" s="3"/>
      <c r="O20" s="3"/>
    </row>
    <row r="21" spans="5:15" x14ac:dyDescent="0.25">
      <c r="E21" s="3"/>
      <c r="G21" s="3"/>
      <c r="I21" s="3"/>
      <c r="L21" s="3"/>
      <c r="M21" s="3"/>
      <c r="N21" s="3"/>
      <c r="O21" s="3"/>
    </row>
    <row r="22" spans="5:15" x14ac:dyDescent="0.25">
      <c r="E22" s="3"/>
      <c r="G22" s="3"/>
      <c r="I22" s="3"/>
      <c r="L22" s="3"/>
      <c r="M22" s="3"/>
      <c r="N22" s="3"/>
      <c r="O22" s="3"/>
    </row>
    <row r="23" spans="5:15" x14ac:dyDescent="0.25">
      <c r="E23" s="3"/>
      <c r="G23" s="3"/>
      <c r="I23" s="3"/>
      <c r="L23" s="3"/>
      <c r="M23" s="3"/>
      <c r="N23" s="3"/>
      <c r="O23" s="3"/>
    </row>
    <row r="24" spans="5:15" x14ac:dyDescent="0.25">
      <c r="E24" s="3"/>
      <c r="G24" s="3"/>
      <c r="I24" s="3"/>
      <c r="L24" s="3"/>
      <c r="M24" s="3"/>
      <c r="N24" s="3"/>
      <c r="O24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9"/>
  <sheetViews>
    <sheetView showGridLines="0" zoomScaleNormal="100" workbookViewId="0"/>
  </sheetViews>
  <sheetFormatPr defaultColWidth="8.7109375" defaultRowHeight="15" customHeight="1" x14ac:dyDescent="0.25"/>
  <cols>
    <col min="1" max="1" width="10.28515625" customWidth="1"/>
    <col min="2" max="2" width="27.85546875" customWidth="1"/>
    <col min="3" max="3" width="13.42578125" customWidth="1"/>
    <col min="4" max="4" width="11.42578125" customWidth="1"/>
    <col min="5" max="5" width="10" customWidth="1"/>
    <col min="6" max="6" width="29.42578125" customWidth="1"/>
    <col min="8" max="8" width="14" customWidth="1"/>
    <col min="9" max="9" width="13.42578125" customWidth="1"/>
    <col min="10" max="10" width="15.5703125" customWidth="1"/>
    <col min="11" max="11" width="10.85546875" customWidth="1"/>
    <col min="12" max="12" width="9.140625" customWidth="1"/>
    <col min="13" max="13" width="23.7109375" customWidth="1"/>
    <col min="14" max="14" width="16.85546875" customWidth="1"/>
    <col min="15" max="15" width="30" customWidth="1"/>
    <col min="16" max="16" width="28" customWidth="1"/>
    <col min="17" max="17" width="24" customWidth="1"/>
    <col min="18" max="18" width="20" customWidth="1"/>
    <col min="19" max="19" width="28" customWidth="1"/>
    <col min="20" max="20" width="50" customWidth="1"/>
    <col min="21" max="21" width="55" customWidth="1"/>
    <col min="22" max="23" width="60" customWidth="1"/>
  </cols>
  <sheetData>
    <row r="1" spans="1:23" s="5" customFormat="1" ht="30" customHeight="1" x14ac:dyDescent="0.25">
      <c r="A1" s="4" t="s">
        <v>230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277</v>
      </c>
      <c r="H1" s="4" t="s">
        <v>231</v>
      </c>
      <c r="I1" s="4" t="s">
        <v>9</v>
      </c>
      <c r="J1" s="4" t="s">
        <v>234</v>
      </c>
      <c r="K1" s="4" t="s">
        <v>10</v>
      </c>
      <c r="L1" s="4" t="s">
        <v>235</v>
      </c>
      <c r="M1" s="4" t="s">
        <v>278</v>
      </c>
      <c r="N1" s="4" t="s">
        <v>279</v>
      </c>
      <c r="O1" s="4" t="s">
        <v>280</v>
      </c>
      <c r="P1" s="4" t="s">
        <v>239</v>
      </c>
      <c r="Q1" s="4" t="s">
        <v>240</v>
      </c>
      <c r="R1" s="4" t="s">
        <v>232</v>
      </c>
      <c r="S1" s="4" t="s">
        <v>281</v>
      </c>
      <c r="T1" s="4" t="s">
        <v>24</v>
      </c>
      <c r="U1" s="4" t="s">
        <v>282</v>
      </c>
      <c r="V1" s="4" t="s">
        <v>283</v>
      </c>
      <c r="W1" s="4" t="s">
        <v>284</v>
      </c>
    </row>
    <row r="2" spans="1:23" s="12" customFormat="1" ht="36" customHeight="1" x14ac:dyDescent="0.25">
      <c r="A2" s="6" t="s">
        <v>285</v>
      </c>
      <c r="B2" s="6" t="s">
        <v>286</v>
      </c>
      <c r="C2" s="6" t="s">
        <v>287</v>
      </c>
      <c r="D2" s="6" t="s">
        <v>288</v>
      </c>
      <c r="E2" s="6" t="s">
        <v>289</v>
      </c>
      <c r="F2" s="6" t="s">
        <v>290</v>
      </c>
      <c r="G2" s="6" t="s">
        <v>291</v>
      </c>
      <c r="H2" s="6" t="str">
        <f t="shared" ref="H2:H33" si="0">IF(AND(ISNUMBER(SEARCH("Microsoft SQL Server",F2)),ISERROR(SEARCH("LocalDB",F2)),ISERROR(SEARCH("do not have any SQL/database installed",T2)),ISERROR(SEARCH("no business databases found",T2))),"Yes","No")</f>
        <v>No</v>
      </c>
      <c r="I2" s="7" t="s">
        <v>203</v>
      </c>
      <c r="J2" s="7"/>
      <c r="K2" s="7"/>
      <c r="L2" s="7"/>
      <c r="M2" s="7"/>
      <c r="N2" s="7"/>
      <c r="O2" s="8" t="s">
        <v>269</v>
      </c>
      <c r="P2" s="9" t="s">
        <v>263</v>
      </c>
      <c r="Q2" s="9" t="s">
        <v>246</v>
      </c>
      <c r="R2" s="10">
        <f>COUNTIF('3. Databases'!$B$2:$B$56,$A2)</f>
        <v>0</v>
      </c>
      <c r="S2" s="10">
        <f>COUNTIFS('3. Databases'!$B$2:$B$56,$A2,'3. Databases'!$V$2:$V$56,"&lt;&gt;TBD",'3. Databases'!$V$2:$V$56,"&lt;&gt;")</f>
        <v>0</v>
      </c>
      <c r="T2" s="11" t="s">
        <v>292</v>
      </c>
      <c r="U2" s="11" t="s">
        <v>124</v>
      </c>
      <c r="V2" s="11" t="s">
        <v>293</v>
      </c>
      <c r="W2" s="11" t="s">
        <v>294</v>
      </c>
    </row>
    <row r="3" spans="1:23" s="12" customFormat="1" ht="84" customHeight="1" x14ac:dyDescent="0.25">
      <c r="A3" s="6" t="s">
        <v>33</v>
      </c>
      <c r="B3" s="6" t="s">
        <v>295</v>
      </c>
      <c r="C3" s="6" t="s">
        <v>296</v>
      </c>
      <c r="D3" s="6" t="s">
        <v>297</v>
      </c>
      <c r="E3" s="6" t="s">
        <v>289</v>
      </c>
      <c r="F3" s="6" t="s">
        <v>298</v>
      </c>
      <c r="G3" s="6" t="s">
        <v>299</v>
      </c>
      <c r="H3" s="6" t="str">
        <f t="shared" si="0"/>
        <v>Yes</v>
      </c>
      <c r="I3" s="8" t="s">
        <v>57</v>
      </c>
      <c r="J3" s="8" t="s">
        <v>255</v>
      </c>
      <c r="K3" s="8" t="s">
        <v>58</v>
      </c>
      <c r="L3" s="8" t="s">
        <v>203</v>
      </c>
      <c r="M3" s="8" t="s">
        <v>300</v>
      </c>
      <c r="N3" s="8" t="s">
        <v>301</v>
      </c>
      <c r="O3" s="8" t="s">
        <v>269</v>
      </c>
      <c r="P3" s="9" t="s">
        <v>263</v>
      </c>
      <c r="Q3" s="9" t="s">
        <v>60</v>
      </c>
      <c r="R3" s="10">
        <f>COUNTIF('3. Databases'!$B$2:$B$56,$A3)</f>
        <v>0</v>
      </c>
      <c r="S3" s="10">
        <f>COUNTIFS('3. Databases'!$B$2:$B$56,$A3,'3. Databases'!$V$2:$V$56,"&lt;&gt;TBD",'3. Databases'!$V$2:$V$56,"&lt;&gt;")</f>
        <v>0</v>
      </c>
      <c r="T3" s="13" t="s">
        <v>302</v>
      </c>
      <c r="U3" s="14" t="s">
        <v>303</v>
      </c>
      <c r="V3" s="14" t="s">
        <v>304</v>
      </c>
      <c r="W3" s="14" t="s">
        <v>305</v>
      </c>
    </row>
    <row r="4" spans="1:23" s="12" customFormat="1" ht="24" customHeight="1" x14ac:dyDescent="0.25">
      <c r="A4" s="6" t="s">
        <v>306</v>
      </c>
      <c r="B4" s="6" t="s">
        <v>295</v>
      </c>
      <c r="C4" s="6" t="s">
        <v>296</v>
      </c>
      <c r="D4" s="6" t="s">
        <v>297</v>
      </c>
      <c r="E4" s="6" t="s">
        <v>289</v>
      </c>
      <c r="F4" s="6" t="s">
        <v>307</v>
      </c>
      <c r="G4" s="6" t="s">
        <v>291</v>
      </c>
      <c r="H4" s="6" t="str">
        <f t="shared" si="0"/>
        <v>No</v>
      </c>
      <c r="I4" s="7" t="s">
        <v>57</v>
      </c>
      <c r="J4" s="7" t="s">
        <v>38</v>
      </c>
      <c r="K4" s="7" t="s">
        <v>58</v>
      </c>
      <c r="L4" s="7" t="s">
        <v>203</v>
      </c>
      <c r="M4" s="7" t="s">
        <v>308</v>
      </c>
      <c r="N4" s="7"/>
      <c r="O4" s="8" t="s">
        <v>269</v>
      </c>
      <c r="P4" s="9" t="s">
        <v>263</v>
      </c>
      <c r="Q4" s="9" t="s">
        <v>246</v>
      </c>
      <c r="R4" s="10">
        <f>COUNTIF('3. Databases'!$B$2:$B$56,$A4)</f>
        <v>0</v>
      </c>
      <c r="S4" s="10">
        <f>COUNTIFS('3. Databases'!$B$2:$B$56,$A4,'3. Databases'!$V$2:$V$56,"&lt;&gt;TBD",'3. Databases'!$V$2:$V$56,"&lt;&gt;")</f>
        <v>0</v>
      </c>
      <c r="T4" s="11" t="s">
        <v>292</v>
      </c>
      <c r="U4" s="11" t="s">
        <v>124</v>
      </c>
      <c r="V4" s="11" t="s">
        <v>293</v>
      </c>
      <c r="W4" s="11" t="s">
        <v>294</v>
      </c>
    </row>
    <row r="5" spans="1:23" s="12" customFormat="1" ht="24" customHeight="1" x14ac:dyDescent="0.25">
      <c r="A5" s="6" t="s">
        <v>309</v>
      </c>
      <c r="B5" s="6" t="s">
        <v>295</v>
      </c>
      <c r="C5" s="6" t="s">
        <v>296</v>
      </c>
      <c r="D5" s="6" t="s">
        <v>297</v>
      </c>
      <c r="E5" s="6" t="s">
        <v>289</v>
      </c>
      <c r="F5" s="6" t="s">
        <v>290</v>
      </c>
      <c r="G5" s="6" t="s">
        <v>291</v>
      </c>
      <c r="H5" s="6" t="str">
        <f t="shared" si="0"/>
        <v>No</v>
      </c>
      <c r="I5" s="7" t="s">
        <v>57</v>
      </c>
      <c r="J5" s="7" t="s">
        <v>38</v>
      </c>
      <c r="K5" s="7" t="s">
        <v>58</v>
      </c>
      <c r="L5" s="7" t="s">
        <v>203</v>
      </c>
      <c r="M5" s="7" t="s">
        <v>308</v>
      </c>
      <c r="N5" s="7"/>
      <c r="O5" s="8" t="s">
        <v>269</v>
      </c>
      <c r="P5" s="9" t="s">
        <v>263</v>
      </c>
      <c r="Q5" s="9" t="s">
        <v>246</v>
      </c>
      <c r="R5" s="10">
        <f>COUNTIF('3. Databases'!$B$2:$B$56,$A5)</f>
        <v>0</v>
      </c>
      <c r="S5" s="10">
        <f>COUNTIFS('3. Databases'!$B$2:$B$56,$A5,'3. Databases'!$V$2:$V$56,"&lt;&gt;TBD",'3. Databases'!$V$2:$V$56,"&lt;&gt;")</f>
        <v>0</v>
      </c>
      <c r="T5" s="11" t="s">
        <v>292</v>
      </c>
      <c r="U5" s="11" t="s">
        <v>124</v>
      </c>
      <c r="V5" s="11" t="s">
        <v>293</v>
      </c>
      <c r="W5" s="11" t="s">
        <v>294</v>
      </c>
    </row>
    <row r="6" spans="1:23" s="12" customFormat="1" ht="96" customHeight="1" x14ac:dyDescent="0.25">
      <c r="A6" s="6" t="s">
        <v>310</v>
      </c>
      <c r="B6" s="6" t="s">
        <v>311</v>
      </c>
      <c r="C6" s="6" t="s">
        <v>312</v>
      </c>
      <c r="D6" s="6" t="s">
        <v>297</v>
      </c>
      <c r="E6" s="6" t="s">
        <v>313</v>
      </c>
      <c r="F6" s="6" t="s">
        <v>314</v>
      </c>
      <c r="G6" s="6" t="s">
        <v>315</v>
      </c>
      <c r="H6" s="6" t="str">
        <f t="shared" si="0"/>
        <v>Yes</v>
      </c>
      <c r="I6" s="8" t="s">
        <v>57</v>
      </c>
      <c r="J6" s="8"/>
      <c r="K6" s="8" t="s">
        <v>58</v>
      </c>
      <c r="L6" s="8" t="s">
        <v>203</v>
      </c>
      <c r="M6" s="8" t="s">
        <v>308</v>
      </c>
      <c r="N6" s="8" t="s">
        <v>308</v>
      </c>
      <c r="O6" s="8" t="s">
        <v>269</v>
      </c>
      <c r="P6" s="9" t="s">
        <v>263</v>
      </c>
      <c r="Q6" s="9" t="s">
        <v>246</v>
      </c>
      <c r="R6" s="10">
        <f>COUNTIF('3. Databases'!$B$2:$B$56,$A6)</f>
        <v>0</v>
      </c>
      <c r="S6" s="10">
        <f>COUNTIFS('3. Databases'!$B$2:$B$56,$A6,'3. Databases'!$V$2:$V$56,"&lt;&gt;TBD",'3. Databases'!$V$2:$V$56,"&lt;&gt;")</f>
        <v>0</v>
      </c>
      <c r="T6" s="14" t="s">
        <v>316</v>
      </c>
      <c r="U6" s="14" t="s">
        <v>317</v>
      </c>
      <c r="V6" s="14" t="s">
        <v>304</v>
      </c>
      <c r="W6" s="14" t="s">
        <v>305</v>
      </c>
    </row>
    <row r="7" spans="1:23" s="12" customFormat="1" ht="24" customHeight="1" x14ac:dyDescent="0.25">
      <c r="A7" s="6" t="s">
        <v>318</v>
      </c>
      <c r="B7" s="6" t="s">
        <v>319</v>
      </c>
      <c r="C7" s="6" t="s">
        <v>320</v>
      </c>
      <c r="D7" s="6" t="s">
        <v>297</v>
      </c>
      <c r="E7" s="6" t="s">
        <v>313</v>
      </c>
      <c r="F7" s="6" t="s">
        <v>321</v>
      </c>
      <c r="G7" s="6" t="s">
        <v>315</v>
      </c>
      <c r="H7" s="6" t="str">
        <f t="shared" si="0"/>
        <v>No</v>
      </c>
      <c r="I7" s="8" t="s">
        <v>57</v>
      </c>
      <c r="J7" s="8"/>
      <c r="K7" s="8"/>
      <c r="L7" s="8" t="s">
        <v>203</v>
      </c>
      <c r="M7" s="8" t="s">
        <v>308</v>
      </c>
      <c r="N7" s="8"/>
      <c r="O7" s="8" t="s">
        <v>269</v>
      </c>
      <c r="P7" s="9" t="s">
        <v>263</v>
      </c>
      <c r="Q7" s="9" t="s">
        <v>246</v>
      </c>
      <c r="R7" s="10">
        <f>COUNTIF('3. Databases'!$B$2:$B$56,$A7)</f>
        <v>0</v>
      </c>
      <c r="S7" s="10">
        <f>COUNTIFS('3. Databases'!$B$2:$B$56,$A7,'3. Databases'!$V$2:$V$56,"&lt;&gt;TBD",'3. Databases'!$V$2:$V$56,"&lt;&gt;")</f>
        <v>0</v>
      </c>
      <c r="T7" s="14" t="s">
        <v>322</v>
      </c>
      <c r="U7" s="13" t="s">
        <v>323</v>
      </c>
      <c r="V7" s="13" t="s">
        <v>304</v>
      </c>
      <c r="W7" s="13" t="s">
        <v>305</v>
      </c>
    </row>
    <row r="8" spans="1:23" s="12" customFormat="1" ht="108" customHeight="1" x14ac:dyDescent="0.25">
      <c r="A8" s="6" t="s">
        <v>49</v>
      </c>
      <c r="B8" s="6" t="s">
        <v>319</v>
      </c>
      <c r="C8" s="6" t="s">
        <v>320</v>
      </c>
      <c r="D8" s="6" t="s">
        <v>297</v>
      </c>
      <c r="E8" s="6" t="s">
        <v>313</v>
      </c>
      <c r="F8" s="6" t="s">
        <v>324</v>
      </c>
      <c r="G8" s="6" t="s">
        <v>315</v>
      </c>
      <c r="H8" s="6" t="str">
        <f t="shared" si="0"/>
        <v>Yes</v>
      </c>
      <c r="I8" s="8" t="s">
        <v>57</v>
      </c>
      <c r="J8" s="8"/>
      <c r="K8" s="8" t="s">
        <v>58</v>
      </c>
      <c r="L8" s="8" t="s">
        <v>203</v>
      </c>
      <c r="M8" s="8" t="s">
        <v>308</v>
      </c>
      <c r="N8" s="8" t="s">
        <v>308</v>
      </c>
      <c r="O8" s="8" t="s">
        <v>269</v>
      </c>
      <c r="P8" s="9" t="s">
        <v>254</v>
      </c>
      <c r="Q8" s="9" t="s">
        <v>246</v>
      </c>
      <c r="R8" s="10">
        <f>COUNTIF('3. Databases'!$B$2:$B$56,$A8)</f>
        <v>0</v>
      </c>
      <c r="S8" s="10">
        <f>COUNTIFS('3. Databases'!$B$2:$B$56,$A8,'3. Databases'!$V$2:$V$56,"&lt;&gt;TBD",'3. Databases'!$V$2:$V$56,"&lt;&gt;")</f>
        <v>0</v>
      </c>
      <c r="T8" s="14" t="s">
        <v>325</v>
      </c>
      <c r="U8" s="14" t="s">
        <v>326</v>
      </c>
      <c r="V8" s="14" t="s">
        <v>327</v>
      </c>
      <c r="W8" s="14" t="s">
        <v>328</v>
      </c>
    </row>
    <row r="9" spans="1:23" s="12" customFormat="1" ht="60" customHeight="1" x14ac:dyDescent="0.25">
      <c r="A9" s="6" t="s">
        <v>329</v>
      </c>
      <c r="B9" s="6" t="s">
        <v>330</v>
      </c>
      <c r="C9" s="6" t="s">
        <v>331</v>
      </c>
      <c r="D9" s="6" t="s">
        <v>297</v>
      </c>
      <c r="E9" s="6" t="s">
        <v>313</v>
      </c>
      <c r="F9" s="6" t="s">
        <v>298</v>
      </c>
      <c r="G9" s="6" t="s">
        <v>299</v>
      </c>
      <c r="H9" s="6" t="str">
        <f t="shared" si="0"/>
        <v>No</v>
      </c>
      <c r="I9" s="8" t="s">
        <v>57</v>
      </c>
      <c r="J9" s="8"/>
      <c r="K9" s="8" t="s">
        <v>58</v>
      </c>
      <c r="L9" s="8" t="s">
        <v>203</v>
      </c>
      <c r="M9" s="8" t="s">
        <v>308</v>
      </c>
      <c r="N9" s="8"/>
      <c r="O9" s="8" t="s">
        <v>269</v>
      </c>
      <c r="P9" s="9" t="s">
        <v>254</v>
      </c>
      <c r="Q9" s="9" t="s">
        <v>246</v>
      </c>
      <c r="R9" s="10">
        <f>COUNTIF('3. Databases'!$B$2:$B$56,$A9)</f>
        <v>0</v>
      </c>
      <c r="S9" s="10">
        <f>COUNTIFS('3. Databases'!$B$2:$B$56,$A9,'3. Databases'!$V$2:$V$56,"&lt;&gt;TBD",'3. Databases'!$V$2:$V$56,"&lt;&gt;")</f>
        <v>0</v>
      </c>
      <c r="T9" s="14" t="s">
        <v>332</v>
      </c>
      <c r="U9" s="14" t="s">
        <v>333</v>
      </c>
      <c r="V9" s="14" t="s">
        <v>327</v>
      </c>
      <c r="W9" s="14" t="s">
        <v>328</v>
      </c>
    </row>
    <row r="10" spans="1:23" s="12" customFormat="1" ht="84" customHeight="1" x14ac:dyDescent="0.25">
      <c r="A10" s="6" t="s">
        <v>219</v>
      </c>
      <c r="B10" s="6" t="s">
        <v>334</v>
      </c>
      <c r="C10" s="6" t="s">
        <v>335</v>
      </c>
      <c r="D10" s="6" t="s">
        <v>288</v>
      </c>
      <c r="E10" s="6" t="s">
        <v>313</v>
      </c>
      <c r="F10" s="6" t="s">
        <v>336</v>
      </c>
      <c r="G10" s="6" t="s">
        <v>299</v>
      </c>
      <c r="H10" s="6" t="str">
        <f t="shared" si="0"/>
        <v>Yes</v>
      </c>
      <c r="I10" s="8" t="s">
        <v>203</v>
      </c>
      <c r="J10" s="8" t="s">
        <v>241</v>
      </c>
      <c r="K10" s="8" t="s">
        <v>58</v>
      </c>
      <c r="L10" s="8" t="s">
        <v>203</v>
      </c>
      <c r="M10" s="8" t="s">
        <v>300</v>
      </c>
      <c r="N10" s="8" t="s">
        <v>301</v>
      </c>
      <c r="O10" s="8" t="s">
        <v>269</v>
      </c>
      <c r="P10" s="9" t="s">
        <v>254</v>
      </c>
      <c r="Q10" s="9" t="s">
        <v>246</v>
      </c>
      <c r="R10" s="10">
        <f>COUNTIF('3. Databases'!$B$2:$B$56,$A10)</f>
        <v>2</v>
      </c>
      <c r="S10" s="10">
        <f>COUNTIFS('3. Databases'!$B$2:$B$56,$A10,'3. Databases'!$V$2:$V$56,"&lt;&gt;TBD",'3. Databases'!$V$2:$V$56,"&lt;&gt;")</f>
        <v>0</v>
      </c>
      <c r="T10" s="14" t="s">
        <v>337</v>
      </c>
      <c r="U10" s="14" t="s">
        <v>338</v>
      </c>
      <c r="V10" s="14" t="s">
        <v>327</v>
      </c>
      <c r="W10" s="14" t="s">
        <v>328</v>
      </c>
    </row>
    <row r="11" spans="1:23" s="12" customFormat="1" ht="24" customHeight="1" x14ac:dyDescent="0.25">
      <c r="A11" s="6" t="s">
        <v>339</v>
      </c>
      <c r="B11" s="6" t="s">
        <v>340</v>
      </c>
      <c r="C11" s="6" t="s">
        <v>341</v>
      </c>
      <c r="D11" s="6" t="s">
        <v>297</v>
      </c>
      <c r="E11" s="6" t="s">
        <v>313</v>
      </c>
      <c r="F11" s="6" t="s">
        <v>290</v>
      </c>
      <c r="G11" s="6" t="s">
        <v>291</v>
      </c>
      <c r="H11" s="6" t="str">
        <f t="shared" si="0"/>
        <v>No</v>
      </c>
      <c r="I11" s="8" t="s">
        <v>57</v>
      </c>
      <c r="J11" s="8" t="s">
        <v>241</v>
      </c>
      <c r="K11" s="8" t="s">
        <v>48</v>
      </c>
      <c r="L11" s="8" t="s">
        <v>203</v>
      </c>
      <c r="M11" s="8" t="s">
        <v>300</v>
      </c>
      <c r="N11" s="8"/>
      <c r="O11" s="8" t="s">
        <v>269</v>
      </c>
      <c r="P11" s="9" t="s">
        <v>263</v>
      </c>
      <c r="Q11" s="9" t="s">
        <v>246</v>
      </c>
      <c r="R11" s="10">
        <f>COUNTIF('3. Databases'!$B$2:$B$56,$A11)</f>
        <v>0</v>
      </c>
      <c r="S11" s="10">
        <f>COUNTIFS('3. Databases'!$B$2:$B$56,$A11,'3. Databases'!$V$2:$V$56,"&lt;&gt;TBD",'3. Databases'!$V$2:$V$56,"&lt;&gt;")</f>
        <v>0</v>
      </c>
      <c r="T11" s="14" t="s">
        <v>342</v>
      </c>
      <c r="U11" s="11" t="s">
        <v>124</v>
      </c>
      <c r="V11" s="11" t="s">
        <v>293</v>
      </c>
      <c r="W11" s="11" t="s">
        <v>294</v>
      </c>
    </row>
    <row r="12" spans="1:23" s="12" customFormat="1" ht="24" customHeight="1" x14ac:dyDescent="0.25">
      <c r="A12" s="6" t="s">
        <v>343</v>
      </c>
      <c r="B12" s="6" t="s">
        <v>344</v>
      </c>
      <c r="C12" s="6" t="s">
        <v>345</v>
      </c>
      <c r="D12" s="6" t="s">
        <v>346</v>
      </c>
      <c r="E12" s="6" t="s">
        <v>313</v>
      </c>
      <c r="F12" s="6" t="s">
        <v>347</v>
      </c>
      <c r="G12" s="6" t="s">
        <v>291</v>
      </c>
      <c r="H12" s="6" t="str">
        <f t="shared" si="0"/>
        <v>No</v>
      </c>
      <c r="I12" s="8" t="s">
        <v>57</v>
      </c>
      <c r="J12" s="8"/>
      <c r="K12" s="8" t="s">
        <v>48</v>
      </c>
      <c r="L12" s="8" t="s">
        <v>203</v>
      </c>
      <c r="M12" s="8" t="s">
        <v>308</v>
      </c>
      <c r="N12" s="8"/>
      <c r="O12" s="8" t="s">
        <v>269</v>
      </c>
      <c r="P12" s="9" t="s">
        <v>263</v>
      </c>
      <c r="Q12" s="9" t="s">
        <v>246</v>
      </c>
      <c r="R12" s="10">
        <f>COUNTIF('3. Databases'!$B$2:$B$56,$A12)</f>
        <v>0</v>
      </c>
      <c r="S12" s="10">
        <f>COUNTIFS('3. Databases'!$B$2:$B$56,$A12,'3. Databases'!$V$2:$V$56,"&lt;&gt;TBD",'3. Databases'!$V$2:$V$56,"&lt;&gt;")</f>
        <v>0</v>
      </c>
      <c r="T12" s="14" t="s">
        <v>348</v>
      </c>
      <c r="U12" s="11" t="s">
        <v>323</v>
      </c>
      <c r="V12" s="11" t="s">
        <v>304</v>
      </c>
      <c r="W12" s="11" t="s">
        <v>305</v>
      </c>
    </row>
    <row r="13" spans="1:23" s="12" customFormat="1" ht="24" customHeight="1" x14ac:dyDescent="0.25">
      <c r="A13" s="6" t="s">
        <v>349</v>
      </c>
      <c r="B13" s="6" t="s">
        <v>350</v>
      </c>
      <c r="C13" s="6" t="s">
        <v>351</v>
      </c>
      <c r="D13" s="6" t="s">
        <v>297</v>
      </c>
      <c r="E13" s="6" t="s">
        <v>313</v>
      </c>
      <c r="F13" s="6" t="s">
        <v>352</v>
      </c>
      <c r="G13" s="6" t="s">
        <v>291</v>
      </c>
      <c r="H13" s="6" t="str">
        <f t="shared" si="0"/>
        <v>No</v>
      </c>
      <c r="I13" s="8" t="s">
        <v>57</v>
      </c>
      <c r="J13" s="8"/>
      <c r="K13" s="8"/>
      <c r="L13" s="8" t="s">
        <v>203</v>
      </c>
      <c r="M13" s="8" t="s">
        <v>308</v>
      </c>
      <c r="N13" s="8"/>
      <c r="O13" s="8" t="s">
        <v>269</v>
      </c>
      <c r="P13" s="9" t="s">
        <v>263</v>
      </c>
      <c r="Q13" s="9" t="s">
        <v>246</v>
      </c>
      <c r="R13" s="10">
        <f>COUNTIF('3. Databases'!$B$2:$B$56,$A13)</f>
        <v>0</v>
      </c>
      <c r="S13" s="10">
        <f>COUNTIFS('3. Databases'!$B$2:$B$56,$A13,'3. Databases'!$V$2:$V$56,"&lt;&gt;TBD",'3. Databases'!$V$2:$V$56,"&lt;&gt;")</f>
        <v>0</v>
      </c>
      <c r="T13" s="14" t="s">
        <v>342</v>
      </c>
      <c r="U13" s="11" t="s">
        <v>353</v>
      </c>
      <c r="V13" s="11" t="s">
        <v>293</v>
      </c>
      <c r="W13" s="11" t="s">
        <v>294</v>
      </c>
    </row>
    <row r="14" spans="1:23" s="12" customFormat="1" ht="60" customHeight="1" x14ac:dyDescent="0.25">
      <c r="A14" s="6" t="s">
        <v>354</v>
      </c>
      <c r="B14" s="6" t="s">
        <v>355</v>
      </c>
      <c r="C14" s="6" t="s">
        <v>356</v>
      </c>
      <c r="D14" s="6" t="s">
        <v>297</v>
      </c>
      <c r="E14" s="6" t="s">
        <v>313</v>
      </c>
      <c r="F14" s="6" t="s">
        <v>336</v>
      </c>
      <c r="G14" s="6" t="s">
        <v>299</v>
      </c>
      <c r="H14" s="6" t="str">
        <f t="shared" si="0"/>
        <v>No</v>
      </c>
      <c r="I14" s="8" t="s">
        <v>57</v>
      </c>
      <c r="J14" s="8"/>
      <c r="K14" s="8"/>
      <c r="L14" s="8" t="s">
        <v>203</v>
      </c>
      <c r="M14" s="8" t="s">
        <v>308</v>
      </c>
      <c r="N14" s="8"/>
      <c r="O14" s="8" t="s">
        <v>269</v>
      </c>
      <c r="P14" s="9" t="s">
        <v>263</v>
      </c>
      <c r="Q14" s="9" t="s">
        <v>246</v>
      </c>
      <c r="R14" s="10">
        <f>COUNTIF('3. Databases'!$B$2:$B$56,$A14)</f>
        <v>0</v>
      </c>
      <c r="S14" s="10">
        <f>COUNTIFS('3. Databases'!$B$2:$B$56,$A14,'3. Databases'!$V$2:$V$56,"&lt;&gt;TBD",'3. Databases'!$V$2:$V$56,"&lt;&gt;")</f>
        <v>0</v>
      </c>
      <c r="T14" s="14" t="s">
        <v>357</v>
      </c>
      <c r="U14" s="14" t="s">
        <v>358</v>
      </c>
      <c r="V14" s="14" t="s">
        <v>304</v>
      </c>
      <c r="W14" s="14" t="s">
        <v>305</v>
      </c>
    </row>
    <row r="15" spans="1:23" s="12" customFormat="1" ht="96" customHeight="1" x14ac:dyDescent="0.25">
      <c r="A15" s="6" t="s">
        <v>223</v>
      </c>
      <c r="B15" s="6" t="s">
        <v>359</v>
      </c>
      <c r="C15" s="6" t="s">
        <v>360</v>
      </c>
      <c r="D15" s="6" t="s">
        <v>297</v>
      </c>
      <c r="E15" s="6" t="s">
        <v>313</v>
      </c>
      <c r="F15" s="6" t="s">
        <v>336</v>
      </c>
      <c r="G15" s="6" t="s">
        <v>299</v>
      </c>
      <c r="H15" s="6" t="str">
        <f t="shared" si="0"/>
        <v>Yes</v>
      </c>
      <c r="I15" s="8" t="s">
        <v>57</v>
      </c>
      <c r="J15" s="8" t="s">
        <v>241</v>
      </c>
      <c r="K15" s="8" t="s">
        <v>48</v>
      </c>
      <c r="L15" s="8" t="s">
        <v>203</v>
      </c>
      <c r="M15" s="8" t="s">
        <v>308</v>
      </c>
      <c r="N15" s="8" t="s">
        <v>361</v>
      </c>
      <c r="O15" s="8" t="s">
        <v>269</v>
      </c>
      <c r="P15" s="9" t="s">
        <v>254</v>
      </c>
      <c r="Q15" s="9" t="s">
        <v>246</v>
      </c>
      <c r="R15" s="10">
        <f>COUNTIF('3. Databases'!$B$2:$B$56,$A15)</f>
        <v>0</v>
      </c>
      <c r="S15" s="10">
        <f>COUNTIFS('3. Databases'!$B$2:$B$56,$A15,'3. Databases'!$V$2:$V$56,"&lt;&gt;TBD",'3. Databases'!$V$2:$V$56,"&lt;&gt;")</f>
        <v>0</v>
      </c>
      <c r="T15" s="14" t="s">
        <v>362</v>
      </c>
      <c r="U15" s="14" t="s">
        <v>363</v>
      </c>
      <c r="V15" s="14" t="s">
        <v>327</v>
      </c>
      <c r="W15" s="14" t="s">
        <v>328</v>
      </c>
    </row>
    <row r="16" spans="1:23" s="12" customFormat="1" ht="96" customHeight="1" x14ac:dyDescent="0.25">
      <c r="A16" s="6" t="s">
        <v>53</v>
      </c>
      <c r="B16" s="6" t="s">
        <v>364</v>
      </c>
      <c r="C16" s="6" t="s">
        <v>365</v>
      </c>
      <c r="D16" s="6" t="s">
        <v>297</v>
      </c>
      <c r="E16" s="6" t="s">
        <v>313</v>
      </c>
      <c r="F16" s="6" t="s">
        <v>336</v>
      </c>
      <c r="G16" s="6" t="s">
        <v>299</v>
      </c>
      <c r="H16" s="6" t="str">
        <f t="shared" si="0"/>
        <v>Yes</v>
      </c>
      <c r="I16" s="8" t="s">
        <v>57</v>
      </c>
      <c r="J16" s="8" t="s">
        <v>241</v>
      </c>
      <c r="K16" s="8" t="s">
        <v>58</v>
      </c>
      <c r="L16" s="8" t="s">
        <v>203</v>
      </c>
      <c r="M16" s="8" t="s">
        <v>366</v>
      </c>
      <c r="N16" s="8" t="s">
        <v>367</v>
      </c>
      <c r="O16" s="8" t="s">
        <v>269</v>
      </c>
      <c r="P16" s="9" t="s">
        <v>254</v>
      </c>
      <c r="Q16" s="9" t="s">
        <v>60</v>
      </c>
      <c r="R16" s="10">
        <f>COUNTIF('3. Databases'!$B$2:$B$56,$A16)</f>
        <v>0</v>
      </c>
      <c r="S16" s="10">
        <f>COUNTIFS('3. Databases'!$B$2:$B$56,$A16,'3. Databases'!$V$2:$V$56,"&lt;&gt;TBD",'3. Databases'!$V$2:$V$56,"&lt;&gt;")</f>
        <v>0</v>
      </c>
      <c r="T16" s="11" t="s">
        <v>368</v>
      </c>
      <c r="U16" s="14" t="s">
        <v>369</v>
      </c>
      <c r="V16" s="14" t="s">
        <v>327</v>
      </c>
      <c r="W16" s="14" t="s">
        <v>328</v>
      </c>
    </row>
    <row r="17" spans="1:23" s="12" customFormat="1" ht="30" customHeight="1" x14ac:dyDescent="0.25">
      <c r="A17" s="6" t="s">
        <v>370</v>
      </c>
      <c r="B17" s="6" t="s">
        <v>364</v>
      </c>
      <c r="C17" s="6" t="s">
        <v>365</v>
      </c>
      <c r="D17" s="6" t="s">
        <v>297</v>
      </c>
      <c r="E17" s="6" t="s">
        <v>313</v>
      </c>
      <c r="F17" s="6" t="s">
        <v>371</v>
      </c>
      <c r="G17" s="6" t="s">
        <v>299</v>
      </c>
      <c r="H17" s="6" t="str">
        <f t="shared" si="0"/>
        <v>No</v>
      </c>
      <c r="I17" s="8" t="s">
        <v>57</v>
      </c>
      <c r="J17" s="8"/>
      <c r="K17" s="8" t="s">
        <v>48</v>
      </c>
      <c r="L17" s="8" t="s">
        <v>203</v>
      </c>
      <c r="M17" s="8" t="s">
        <v>308</v>
      </c>
      <c r="N17" s="8" t="s">
        <v>367</v>
      </c>
      <c r="O17" s="8" t="s">
        <v>269</v>
      </c>
      <c r="P17" s="9" t="s">
        <v>263</v>
      </c>
      <c r="Q17" s="9" t="s">
        <v>246</v>
      </c>
      <c r="R17" s="10">
        <f>COUNTIF('3. Databases'!$B$2:$B$56,$A17)</f>
        <v>0</v>
      </c>
      <c r="S17" s="10">
        <f>COUNTIFS('3. Databases'!$B$2:$B$56,$A17,'3. Databases'!$V$2:$V$56,"&lt;&gt;TBD",'3. Databases'!$V$2:$V$56,"&lt;&gt;")</f>
        <v>0</v>
      </c>
      <c r="T17" s="11" t="s">
        <v>368</v>
      </c>
      <c r="U17" s="11" t="s">
        <v>124</v>
      </c>
      <c r="V17" s="11" t="s">
        <v>304</v>
      </c>
      <c r="W17" s="11" t="s">
        <v>305</v>
      </c>
    </row>
    <row r="18" spans="1:23" s="12" customFormat="1" ht="96" customHeight="1" x14ac:dyDescent="0.25">
      <c r="A18" s="6" t="s">
        <v>224</v>
      </c>
      <c r="B18" s="6" t="s">
        <v>372</v>
      </c>
      <c r="C18" s="6" t="s">
        <v>373</v>
      </c>
      <c r="D18" s="6" t="s">
        <v>297</v>
      </c>
      <c r="E18" s="6" t="s">
        <v>313</v>
      </c>
      <c r="F18" s="6" t="s">
        <v>336</v>
      </c>
      <c r="G18" s="6" t="s">
        <v>299</v>
      </c>
      <c r="H18" s="6" t="str">
        <f t="shared" si="0"/>
        <v>Yes</v>
      </c>
      <c r="I18" s="8" t="s">
        <v>57</v>
      </c>
      <c r="J18" s="8" t="s">
        <v>241</v>
      </c>
      <c r="K18" s="8" t="s">
        <v>58</v>
      </c>
      <c r="L18" s="8" t="s">
        <v>203</v>
      </c>
      <c r="M18" s="8" t="s">
        <v>308</v>
      </c>
      <c r="N18" s="8" t="s">
        <v>374</v>
      </c>
      <c r="O18" s="8" t="s">
        <v>269</v>
      </c>
      <c r="P18" s="9" t="s">
        <v>254</v>
      </c>
      <c r="Q18" s="9" t="s">
        <v>246</v>
      </c>
      <c r="R18" s="10">
        <f>COUNTIF('3. Databases'!$B$2:$B$56,$A18)</f>
        <v>0</v>
      </c>
      <c r="S18" s="10">
        <f>COUNTIFS('3. Databases'!$B$2:$B$56,$A18,'3. Databases'!$V$2:$V$56,"&lt;&gt;TBD",'3. Databases'!$V$2:$V$56,"&lt;&gt;")</f>
        <v>0</v>
      </c>
      <c r="T18" s="14" t="s">
        <v>375</v>
      </c>
      <c r="U18" s="14" t="s">
        <v>376</v>
      </c>
      <c r="V18" s="14" t="s">
        <v>327</v>
      </c>
      <c r="W18" s="14" t="s">
        <v>328</v>
      </c>
    </row>
    <row r="19" spans="1:23" s="12" customFormat="1" ht="108" customHeight="1" x14ac:dyDescent="0.25">
      <c r="A19" s="6" t="s">
        <v>156</v>
      </c>
      <c r="B19" s="6" t="s">
        <v>377</v>
      </c>
      <c r="C19" s="6"/>
      <c r="D19" s="6"/>
      <c r="E19" s="6" t="s">
        <v>313</v>
      </c>
      <c r="F19" s="6" t="s">
        <v>336</v>
      </c>
      <c r="G19" s="6" t="s">
        <v>299</v>
      </c>
      <c r="H19" s="6" t="str">
        <f t="shared" si="0"/>
        <v>Yes</v>
      </c>
      <c r="I19" s="8" t="s">
        <v>57</v>
      </c>
      <c r="J19" s="8" t="s">
        <v>241</v>
      </c>
      <c r="K19" s="8" t="s">
        <v>48</v>
      </c>
      <c r="L19" s="8" t="s">
        <v>203</v>
      </c>
      <c r="M19" s="8" t="s">
        <v>300</v>
      </c>
      <c r="N19" s="8" t="s">
        <v>367</v>
      </c>
      <c r="O19" s="8" t="s">
        <v>41</v>
      </c>
      <c r="P19" s="9" t="s">
        <v>263</v>
      </c>
      <c r="Q19" s="9" t="s">
        <v>246</v>
      </c>
      <c r="R19" s="10">
        <f>COUNTIF('3. Databases'!$B$2:$B$56,$A19)</f>
        <v>1</v>
      </c>
      <c r="S19" s="10">
        <f>COUNTIFS('3. Databases'!$B$2:$B$56,$A19,'3. Databases'!$V$2:$V$56,"&lt;&gt;TBD",'3. Databases'!$V$2:$V$56,"&lt;&gt;")</f>
        <v>0</v>
      </c>
      <c r="T19" s="14" t="s">
        <v>378</v>
      </c>
      <c r="U19" s="14" t="s">
        <v>379</v>
      </c>
      <c r="V19" s="14" t="s">
        <v>304</v>
      </c>
      <c r="W19" s="14" t="s">
        <v>305</v>
      </c>
    </row>
    <row r="20" spans="1:23" s="12" customFormat="1" ht="84" customHeight="1" x14ac:dyDescent="0.25">
      <c r="A20" s="6" t="s">
        <v>153</v>
      </c>
      <c r="B20" s="6" t="s">
        <v>380</v>
      </c>
      <c r="C20" s="6" t="s">
        <v>381</v>
      </c>
      <c r="D20" s="6" t="s">
        <v>297</v>
      </c>
      <c r="E20" s="6" t="s">
        <v>313</v>
      </c>
      <c r="F20" s="6" t="s">
        <v>382</v>
      </c>
      <c r="G20" s="6" t="s">
        <v>38</v>
      </c>
      <c r="H20" s="6" t="str">
        <f t="shared" si="0"/>
        <v>Yes</v>
      </c>
      <c r="I20" s="8" t="s">
        <v>57</v>
      </c>
      <c r="J20" s="8" t="s">
        <v>241</v>
      </c>
      <c r="K20" s="8" t="s">
        <v>48</v>
      </c>
      <c r="L20" s="8" t="s">
        <v>203</v>
      </c>
      <c r="M20" s="8" t="s">
        <v>300</v>
      </c>
      <c r="N20" s="8" t="s">
        <v>367</v>
      </c>
      <c r="O20" s="8" t="s">
        <v>383</v>
      </c>
      <c r="P20" s="9" t="s">
        <v>254</v>
      </c>
      <c r="Q20" s="9" t="s">
        <v>246</v>
      </c>
      <c r="R20" s="10">
        <f>COUNTIF('3. Databases'!$B$2:$B$56,$A20)</f>
        <v>0</v>
      </c>
      <c r="S20" s="10">
        <f>COUNTIFS('3. Databases'!$B$2:$B$56,$A20,'3. Databases'!$V$2:$V$56,"&lt;&gt;TBD",'3. Databases'!$V$2:$V$56,"&lt;&gt;")</f>
        <v>0</v>
      </c>
      <c r="T20" s="11" t="s">
        <v>368</v>
      </c>
      <c r="U20" s="14" t="s">
        <v>384</v>
      </c>
      <c r="V20" s="14" t="s">
        <v>327</v>
      </c>
      <c r="W20" s="14" t="s">
        <v>328</v>
      </c>
    </row>
    <row r="21" spans="1:23" s="12" customFormat="1" ht="72" customHeight="1" x14ac:dyDescent="0.25">
      <c r="A21" s="6" t="s">
        <v>162</v>
      </c>
      <c r="B21" s="6" t="s">
        <v>385</v>
      </c>
      <c r="C21" s="6"/>
      <c r="D21" s="6"/>
      <c r="E21" s="6" t="s">
        <v>313</v>
      </c>
      <c r="F21" s="6" t="s">
        <v>382</v>
      </c>
      <c r="G21" s="6" t="s">
        <v>38</v>
      </c>
      <c r="H21" s="6" t="str">
        <f t="shared" si="0"/>
        <v>Yes</v>
      </c>
      <c r="I21" s="8" t="s">
        <v>36</v>
      </c>
      <c r="J21" s="8"/>
      <c r="K21" s="8"/>
      <c r="L21" s="8"/>
      <c r="M21" s="8" t="s">
        <v>105</v>
      </c>
      <c r="N21" s="8" t="s">
        <v>301</v>
      </c>
      <c r="O21" s="8" t="s">
        <v>41</v>
      </c>
      <c r="P21" s="9" t="s">
        <v>263</v>
      </c>
      <c r="Q21" s="9" t="s">
        <v>246</v>
      </c>
      <c r="R21" s="10">
        <f>COUNTIF('3. Databases'!$B$2:$B$56,$A21)</f>
        <v>0</v>
      </c>
      <c r="S21" s="10">
        <f>COUNTIFS('3. Databases'!$B$2:$B$56,$A21,'3. Databases'!$V$2:$V$56,"&lt;&gt;TBD",'3. Databases'!$V$2:$V$56,"&lt;&gt;")</f>
        <v>0</v>
      </c>
      <c r="T21" s="13" t="s">
        <v>386</v>
      </c>
      <c r="U21" s="14" t="s">
        <v>387</v>
      </c>
      <c r="V21" s="14" t="s">
        <v>304</v>
      </c>
      <c r="W21" s="14" t="s">
        <v>305</v>
      </c>
    </row>
    <row r="22" spans="1:23" s="12" customFormat="1" ht="36" customHeight="1" x14ac:dyDescent="0.25">
      <c r="A22" s="6" t="s">
        <v>388</v>
      </c>
      <c r="B22" s="6" t="s">
        <v>389</v>
      </c>
      <c r="C22" s="6" t="s">
        <v>390</v>
      </c>
      <c r="D22" s="6" t="s">
        <v>297</v>
      </c>
      <c r="E22" s="6" t="s">
        <v>313</v>
      </c>
      <c r="F22" s="6" t="s">
        <v>321</v>
      </c>
      <c r="G22" s="6" t="s">
        <v>291</v>
      </c>
      <c r="H22" s="6" t="str">
        <f t="shared" si="0"/>
        <v>No</v>
      </c>
      <c r="I22" s="8" t="s">
        <v>57</v>
      </c>
      <c r="J22" s="8"/>
      <c r="K22" s="8" t="s">
        <v>58</v>
      </c>
      <c r="L22" s="8" t="s">
        <v>203</v>
      </c>
      <c r="M22" s="8" t="s">
        <v>308</v>
      </c>
      <c r="N22" s="8" t="s">
        <v>391</v>
      </c>
      <c r="O22" s="8" t="s">
        <v>269</v>
      </c>
      <c r="P22" s="9" t="s">
        <v>263</v>
      </c>
      <c r="Q22" s="9" t="s">
        <v>246</v>
      </c>
      <c r="R22" s="10">
        <f>COUNTIF('3. Databases'!$B$2:$B$56,$A22)</f>
        <v>0</v>
      </c>
      <c r="S22" s="10">
        <f>COUNTIFS('3. Databases'!$B$2:$B$56,$A22,'3. Databases'!$V$2:$V$56,"&lt;&gt;TBD",'3. Databases'!$V$2:$V$56,"&lt;&gt;")</f>
        <v>0</v>
      </c>
      <c r="T22" s="14" t="s">
        <v>322</v>
      </c>
      <c r="U22" s="14" t="s">
        <v>323</v>
      </c>
      <c r="V22" s="14" t="s">
        <v>304</v>
      </c>
      <c r="W22" s="14" t="s">
        <v>305</v>
      </c>
    </row>
    <row r="23" spans="1:23" s="12" customFormat="1" ht="120" customHeight="1" x14ac:dyDescent="0.25">
      <c r="A23" s="6" t="s">
        <v>392</v>
      </c>
      <c r="B23" s="6" t="s">
        <v>393</v>
      </c>
      <c r="C23" s="6" t="s">
        <v>394</v>
      </c>
      <c r="D23" s="6" t="s">
        <v>297</v>
      </c>
      <c r="E23" s="6" t="s">
        <v>313</v>
      </c>
      <c r="F23" s="6" t="s">
        <v>298</v>
      </c>
      <c r="G23" s="6" t="s">
        <v>299</v>
      </c>
      <c r="H23" s="6" t="str">
        <f t="shared" si="0"/>
        <v>Yes</v>
      </c>
      <c r="I23" s="8" t="s">
        <v>57</v>
      </c>
      <c r="J23" s="8"/>
      <c r="K23" s="8"/>
      <c r="L23" s="8" t="s">
        <v>203</v>
      </c>
      <c r="M23" s="8" t="s">
        <v>300</v>
      </c>
      <c r="N23" s="8"/>
      <c r="O23" s="8" t="s">
        <v>269</v>
      </c>
      <c r="P23" s="9" t="s">
        <v>263</v>
      </c>
      <c r="Q23" s="9" t="s">
        <v>246</v>
      </c>
      <c r="R23" s="10">
        <f>COUNTIF('3. Databases'!$B$2:$B$56,$A23)</f>
        <v>0</v>
      </c>
      <c r="S23" s="10">
        <f>COUNTIFS('3. Databases'!$B$2:$B$56,$A23,'3. Databases'!$V$2:$V$56,"&lt;&gt;TBD",'3. Databases'!$V$2:$V$56,"&lt;&gt;")</f>
        <v>0</v>
      </c>
      <c r="T23" s="14" t="s">
        <v>395</v>
      </c>
      <c r="U23" s="14" t="s">
        <v>396</v>
      </c>
      <c r="V23" s="14" t="s">
        <v>304</v>
      </c>
      <c r="W23" s="14" t="s">
        <v>305</v>
      </c>
    </row>
    <row r="24" spans="1:23" s="12" customFormat="1" ht="120" customHeight="1" x14ac:dyDescent="0.25">
      <c r="A24" s="6" t="s">
        <v>397</v>
      </c>
      <c r="B24" s="6" t="s">
        <v>393</v>
      </c>
      <c r="C24" s="6" t="s">
        <v>394</v>
      </c>
      <c r="D24" s="6" t="s">
        <v>297</v>
      </c>
      <c r="E24" s="6" t="s">
        <v>313</v>
      </c>
      <c r="F24" s="6" t="s">
        <v>336</v>
      </c>
      <c r="G24" s="6" t="s">
        <v>299</v>
      </c>
      <c r="H24" s="6" t="str">
        <f t="shared" si="0"/>
        <v>No</v>
      </c>
      <c r="I24" s="8" t="s">
        <v>57</v>
      </c>
      <c r="J24" s="8" t="s">
        <v>241</v>
      </c>
      <c r="K24" s="8" t="s">
        <v>58</v>
      </c>
      <c r="L24" s="8" t="s">
        <v>203</v>
      </c>
      <c r="M24" s="8" t="s">
        <v>300</v>
      </c>
      <c r="N24" s="8"/>
      <c r="O24" s="8" t="s">
        <v>269</v>
      </c>
      <c r="P24" s="9" t="s">
        <v>263</v>
      </c>
      <c r="Q24" s="9" t="s">
        <v>246</v>
      </c>
      <c r="R24" s="10">
        <f>COUNTIF('3. Databases'!$B$2:$B$56,$A24)</f>
        <v>0</v>
      </c>
      <c r="S24" s="10">
        <f>COUNTIFS('3. Databases'!$B$2:$B$56,$A24,'3. Databases'!$V$2:$V$56,"&lt;&gt;TBD",'3. Databases'!$V$2:$V$56,"&lt;&gt;")</f>
        <v>0</v>
      </c>
      <c r="T24" s="14" t="s">
        <v>398</v>
      </c>
      <c r="U24" s="14" t="s">
        <v>396</v>
      </c>
      <c r="V24" s="14" t="s">
        <v>304</v>
      </c>
      <c r="W24" s="14" t="s">
        <v>305</v>
      </c>
    </row>
    <row r="25" spans="1:23" s="12" customFormat="1" ht="24" customHeight="1" x14ac:dyDescent="0.25">
      <c r="A25" s="6" t="s">
        <v>399</v>
      </c>
      <c r="B25" s="6" t="s">
        <v>400</v>
      </c>
      <c r="C25" s="6" t="s">
        <v>401</v>
      </c>
      <c r="D25" s="6" t="s">
        <v>288</v>
      </c>
      <c r="E25" s="6" t="s">
        <v>313</v>
      </c>
      <c r="F25" s="6" t="s">
        <v>321</v>
      </c>
      <c r="G25" s="6" t="s">
        <v>315</v>
      </c>
      <c r="H25" s="6" t="str">
        <f t="shared" si="0"/>
        <v>No</v>
      </c>
      <c r="I25" s="8" t="s">
        <v>203</v>
      </c>
      <c r="J25" s="8"/>
      <c r="K25" s="8" t="s">
        <v>48</v>
      </c>
      <c r="L25" s="8" t="s">
        <v>203</v>
      </c>
      <c r="M25" s="8" t="s">
        <v>308</v>
      </c>
      <c r="N25" s="8" t="s">
        <v>402</v>
      </c>
      <c r="O25" s="8" t="s">
        <v>269</v>
      </c>
      <c r="P25" s="9" t="s">
        <v>263</v>
      </c>
      <c r="Q25" s="9" t="s">
        <v>246</v>
      </c>
      <c r="R25" s="10">
        <f>COUNTIF('3. Databases'!$B$2:$B$56,$A25)</f>
        <v>0</v>
      </c>
      <c r="S25" s="10">
        <f>COUNTIFS('3. Databases'!$B$2:$B$56,$A25,'3. Databases'!$V$2:$V$56,"&lt;&gt;TBD",'3. Databases'!$V$2:$V$56,"&lt;&gt;")</f>
        <v>0</v>
      </c>
      <c r="T25" s="14" t="s">
        <v>322</v>
      </c>
      <c r="U25" s="14" t="s">
        <v>323</v>
      </c>
      <c r="V25" s="14" t="s">
        <v>304</v>
      </c>
      <c r="W25" s="14" t="s">
        <v>305</v>
      </c>
    </row>
    <row r="26" spans="1:23" s="12" customFormat="1" ht="84" customHeight="1" x14ac:dyDescent="0.25">
      <c r="A26" s="6" t="s">
        <v>403</v>
      </c>
      <c r="B26" s="6" t="s">
        <v>400</v>
      </c>
      <c r="C26" s="6" t="s">
        <v>401</v>
      </c>
      <c r="D26" s="6" t="s">
        <v>288</v>
      </c>
      <c r="E26" s="6" t="s">
        <v>313</v>
      </c>
      <c r="F26" s="6" t="s">
        <v>336</v>
      </c>
      <c r="G26" s="6" t="s">
        <v>299</v>
      </c>
      <c r="H26" s="6" t="str">
        <f t="shared" si="0"/>
        <v>No</v>
      </c>
      <c r="I26" s="8" t="s">
        <v>203</v>
      </c>
      <c r="J26" s="8"/>
      <c r="K26" s="8"/>
      <c r="L26" s="8"/>
      <c r="M26" s="8"/>
      <c r="N26" s="8"/>
      <c r="O26" s="8" t="s">
        <v>269</v>
      </c>
      <c r="P26" s="9" t="s">
        <v>263</v>
      </c>
      <c r="Q26" s="9" t="s">
        <v>246</v>
      </c>
      <c r="R26" s="10">
        <f>COUNTIF('3. Databases'!$B$2:$B$56,$A26)</f>
        <v>0</v>
      </c>
      <c r="S26" s="10">
        <f>COUNTIFS('3. Databases'!$B$2:$B$56,$A26,'3. Databases'!$V$2:$V$56,"&lt;&gt;TBD",'3. Databases'!$V$2:$V$56,"&lt;&gt;")</f>
        <v>0</v>
      </c>
      <c r="T26" s="14" t="s">
        <v>404</v>
      </c>
      <c r="U26" s="14" t="s">
        <v>405</v>
      </c>
      <c r="V26" s="14" t="s">
        <v>304</v>
      </c>
      <c r="W26" s="14" t="s">
        <v>305</v>
      </c>
    </row>
    <row r="27" spans="1:23" s="12" customFormat="1" ht="24" customHeight="1" x14ac:dyDescent="0.25">
      <c r="A27" s="6" t="s">
        <v>406</v>
      </c>
      <c r="B27" s="6" t="s">
        <v>407</v>
      </c>
      <c r="C27" s="6" t="s">
        <v>408</v>
      </c>
      <c r="D27" s="6" t="s">
        <v>297</v>
      </c>
      <c r="E27" s="6" t="s">
        <v>289</v>
      </c>
      <c r="F27" s="6" t="s">
        <v>409</v>
      </c>
      <c r="G27" s="6" t="s">
        <v>291</v>
      </c>
      <c r="H27" s="6" t="str">
        <f t="shared" si="0"/>
        <v>No</v>
      </c>
      <c r="I27" s="8" t="s">
        <v>57</v>
      </c>
      <c r="J27" s="8"/>
      <c r="K27" s="8" t="s">
        <v>58</v>
      </c>
      <c r="L27" s="8" t="s">
        <v>203</v>
      </c>
      <c r="M27" s="8" t="s">
        <v>300</v>
      </c>
      <c r="N27" s="8" t="s">
        <v>259</v>
      </c>
      <c r="O27" s="8" t="s">
        <v>269</v>
      </c>
      <c r="P27" s="9" t="s">
        <v>263</v>
      </c>
      <c r="Q27" s="9" t="s">
        <v>246</v>
      </c>
      <c r="R27" s="10">
        <f>COUNTIF('3. Databases'!$B$2:$B$56,$A27)</f>
        <v>0</v>
      </c>
      <c r="S27" s="10">
        <f>COUNTIFS('3. Databases'!$B$2:$B$56,$A27,'3. Databases'!$V$2:$V$56,"&lt;&gt;TBD",'3. Databases'!$V$2:$V$56,"&lt;&gt;")</f>
        <v>0</v>
      </c>
      <c r="T27" s="11" t="s">
        <v>292</v>
      </c>
      <c r="U27" s="11" t="s">
        <v>124</v>
      </c>
      <c r="V27" s="11" t="s">
        <v>293</v>
      </c>
      <c r="W27" s="11" t="s">
        <v>294</v>
      </c>
    </row>
    <row r="28" spans="1:23" s="12" customFormat="1" ht="48" customHeight="1" x14ac:dyDescent="0.25">
      <c r="A28" s="6" t="s">
        <v>167</v>
      </c>
      <c r="B28" s="6" t="s">
        <v>410</v>
      </c>
      <c r="C28" s="6" t="s">
        <v>411</v>
      </c>
      <c r="D28" s="6" t="s">
        <v>297</v>
      </c>
      <c r="E28" s="6" t="s">
        <v>313</v>
      </c>
      <c r="F28" s="6" t="s">
        <v>298</v>
      </c>
      <c r="G28" s="6" t="s">
        <v>299</v>
      </c>
      <c r="H28" s="6" t="str">
        <f t="shared" si="0"/>
        <v>Yes</v>
      </c>
      <c r="I28" s="8" t="s">
        <v>57</v>
      </c>
      <c r="J28" s="8" t="s">
        <v>255</v>
      </c>
      <c r="K28" s="8" t="s">
        <v>58</v>
      </c>
      <c r="L28" s="8" t="s">
        <v>203</v>
      </c>
      <c r="M28" s="8" t="s">
        <v>412</v>
      </c>
      <c r="N28" s="8" t="s">
        <v>413</v>
      </c>
      <c r="O28" s="8" t="s">
        <v>269</v>
      </c>
      <c r="P28" s="9" t="s">
        <v>254</v>
      </c>
      <c r="Q28" s="9" t="s">
        <v>246</v>
      </c>
      <c r="R28" s="10">
        <f>COUNTIF('3. Databases'!$B$2:$B$56,$A28)</f>
        <v>1</v>
      </c>
      <c r="S28" s="10">
        <f>COUNTIFS('3. Databases'!$B$2:$B$56,$A28,'3. Databases'!$V$2:$V$56,"&lt;&gt;TBD",'3. Databases'!$V$2:$V$56,"&lt;&gt;")</f>
        <v>0</v>
      </c>
      <c r="T28" s="11" t="s">
        <v>368</v>
      </c>
      <c r="U28" s="14" t="s">
        <v>358</v>
      </c>
      <c r="V28" s="14" t="s">
        <v>327</v>
      </c>
      <c r="W28" s="14" t="s">
        <v>328</v>
      </c>
    </row>
    <row r="29" spans="1:23" s="12" customFormat="1" ht="60" customHeight="1" x14ac:dyDescent="0.25">
      <c r="A29" s="6" t="s">
        <v>414</v>
      </c>
      <c r="B29" s="6" t="s">
        <v>410</v>
      </c>
      <c r="C29" s="6" t="s">
        <v>411</v>
      </c>
      <c r="D29" s="6" t="s">
        <v>297</v>
      </c>
      <c r="E29" s="6" t="s">
        <v>313</v>
      </c>
      <c r="F29" s="6" t="s">
        <v>415</v>
      </c>
      <c r="G29" s="6" t="s">
        <v>315</v>
      </c>
      <c r="H29" s="6" t="str">
        <f t="shared" si="0"/>
        <v>No</v>
      </c>
      <c r="I29" s="8" t="s">
        <v>57</v>
      </c>
      <c r="J29" s="8" t="s">
        <v>255</v>
      </c>
      <c r="K29" s="8" t="s">
        <v>48</v>
      </c>
      <c r="L29" s="8" t="s">
        <v>203</v>
      </c>
      <c r="M29" s="8" t="s">
        <v>412</v>
      </c>
      <c r="N29" s="8" t="s">
        <v>413</v>
      </c>
      <c r="O29" s="8" t="s">
        <v>269</v>
      </c>
      <c r="P29" s="9" t="s">
        <v>263</v>
      </c>
      <c r="Q29" s="9" t="s">
        <v>246</v>
      </c>
      <c r="R29" s="10">
        <f>COUNTIF('3. Databases'!$B$2:$B$56,$A29)</f>
        <v>0</v>
      </c>
      <c r="S29" s="10">
        <f>COUNTIFS('3. Databases'!$B$2:$B$56,$A29,'3. Databases'!$V$2:$V$56,"&lt;&gt;TBD",'3. Databases'!$V$2:$V$56,"&lt;&gt;")</f>
        <v>0</v>
      </c>
      <c r="T29" s="11" t="s">
        <v>416</v>
      </c>
      <c r="U29" s="11" t="s">
        <v>124</v>
      </c>
      <c r="V29" s="11" t="s">
        <v>304</v>
      </c>
      <c r="W29" s="11" t="s">
        <v>305</v>
      </c>
    </row>
    <row r="30" spans="1:23" s="12" customFormat="1" ht="48" customHeight="1" x14ac:dyDescent="0.25">
      <c r="A30" s="6" t="s">
        <v>171</v>
      </c>
      <c r="B30" s="6" t="s">
        <v>417</v>
      </c>
      <c r="C30" s="6" t="s">
        <v>418</v>
      </c>
      <c r="D30" s="6" t="s">
        <v>297</v>
      </c>
      <c r="E30" s="6" t="s">
        <v>313</v>
      </c>
      <c r="F30" s="6" t="s">
        <v>298</v>
      </c>
      <c r="G30" s="6" t="s">
        <v>299</v>
      </c>
      <c r="H30" s="6" t="str">
        <f t="shared" si="0"/>
        <v>Yes</v>
      </c>
      <c r="I30" s="8" t="s">
        <v>44</v>
      </c>
      <c r="J30" s="8"/>
      <c r="K30" s="8" t="s">
        <v>48</v>
      </c>
      <c r="L30" s="8" t="s">
        <v>203</v>
      </c>
      <c r="M30" s="8" t="s">
        <v>412</v>
      </c>
      <c r="N30" s="8" t="s">
        <v>413</v>
      </c>
      <c r="O30" s="8" t="s">
        <v>269</v>
      </c>
      <c r="P30" s="9" t="s">
        <v>254</v>
      </c>
      <c r="Q30" s="9" t="s">
        <v>246</v>
      </c>
      <c r="R30" s="10">
        <f>COUNTIF('3. Databases'!$B$2:$B$56,$A30)</f>
        <v>2</v>
      </c>
      <c r="S30" s="10">
        <f>COUNTIFS('3. Databases'!$B$2:$B$56,$A30,'3. Databases'!$V$2:$V$56,"&lt;&gt;TBD",'3. Databases'!$V$2:$V$56,"&lt;&gt;")</f>
        <v>0</v>
      </c>
      <c r="T30" s="11" t="s">
        <v>368</v>
      </c>
      <c r="U30" s="14" t="s">
        <v>358</v>
      </c>
      <c r="V30" s="14" t="s">
        <v>327</v>
      </c>
      <c r="W30" s="14" t="s">
        <v>328</v>
      </c>
    </row>
    <row r="31" spans="1:23" s="12" customFormat="1" ht="24" customHeight="1" x14ac:dyDescent="0.25">
      <c r="A31" s="6" t="s">
        <v>419</v>
      </c>
      <c r="B31" s="6" t="s">
        <v>417</v>
      </c>
      <c r="C31" s="6" t="s">
        <v>418</v>
      </c>
      <c r="D31" s="6" t="s">
        <v>297</v>
      </c>
      <c r="E31" s="6" t="s">
        <v>313</v>
      </c>
      <c r="F31" s="6" t="s">
        <v>415</v>
      </c>
      <c r="G31" s="6" t="s">
        <v>315</v>
      </c>
      <c r="H31" s="6" t="str">
        <f t="shared" si="0"/>
        <v>No</v>
      </c>
      <c r="I31" s="8" t="s">
        <v>44</v>
      </c>
      <c r="J31" s="8"/>
      <c r="K31" s="8"/>
      <c r="L31" s="8"/>
      <c r="M31" s="8" t="s">
        <v>412</v>
      </c>
      <c r="N31" s="8"/>
      <c r="O31" s="8" t="s">
        <v>269</v>
      </c>
      <c r="P31" s="9" t="s">
        <v>263</v>
      </c>
      <c r="Q31" s="9" t="s">
        <v>246</v>
      </c>
      <c r="R31" s="10">
        <f>COUNTIF('3. Databases'!$B$2:$B$56,$A31)</f>
        <v>0</v>
      </c>
      <c r="S31" s="10">
        <f>COUNTIFS('3. Databases'!$B$2:$B$56,$A31,'3. Databases'!$V$2:$V$56,"&lt;&gt;TBD",'3. Databases'!$V$2:$V$56,"&lt;&gt;")</f>
        <v>0</v>
      </c>
      <c r="T31" s="11" t="s">
        <v>420</v>
      </c>
      <c r="U31" s="11" t="s">
        <v>124</v>
      </c>
      <c r="V31" s="11" t="s">
        <v>304</v>
      </c>
      <c r="W31" s="11" t="s">
        <v>305</v>
      </c>
    </row>
    <row r="32" spans="1:23" s="12" customFormat="1" ht="96" customHeight="1" x14ac:dyDescent="0.25">
      <c r="A32" s="6" t="s">
        <v>100</v>
      </c>
      <c r="B32" s="6" t="s">
        <v>421</v>
      </c>
      <c r="C32" s="6" t="s">
        <v>422</v>
      </c>
      <c r="D32" s="6" t="s">
        <v>297</v>
      </c>
      <c r="E32" s="6" t="s">
        <v>423</v>
      </c>
      <c r="F32" s="6" t="s">
        <v>382</v>
      </c>
      <c r="G32" s="6" t="s">
        <v>299</v>
      </c>
      <c r="H32" s="6" t="str">
        <f t="shared" si="0"/>
        <v>Yes</v>
      </c>
      <c r="I32" s="8" t="s">
        <v>57</v>
      </c>
      <c r="J32" s="8" t="s">
        <v>241</v>
      </c>
      <c r="K32" s="8" t="s">
        <v>58</v>
      </c>
      <c r="L32" s="8" t="s">
        <v>203</v>
      </c>
      <c r="M32" s="8" t="s">
        <v>300</v>
      </c>
      <c r="N32" s="8" t="s">
        <v>301</v>
      </c>
      <c r="O32" s="8" t="s">
        <v>269</v>
      </c>
      <c r="P32" s="9" t="s">
        <v>254</v>
      </c>
      <c r="Q32" s="9" t="s">
        <v>246</v>
      </c>
      <c r="R32" s="10">
        <f>COUNTIF('3. Databases'!$B$2:$B$56,$A32)</f>
        <v>7</v>
      </c>
      <c r="S32" s="10">
        <f>COUNTIFS('3. Databases'!$B$2:$B$56,$A32,'3. Databases'!$V$2:$V$56,"&lt;&gt;TBD",'3. Databases'!$V$2:$V$56,"&lt;&gt;")</f>
        <v>0</v>
      </c>
      <c r="T32" s="14" t="s">
        <v>424</v>
      </c>
      <c r="U32" s="14" t="s">
        <v>425</v>
      </c>
      <c r="V32" s="14" t="s">
        <v>327</v>
      </c>
      <c r="W32" s="14" t="s">
        <v>328</v>
      </c>
    </row>
    <row r="33" spans="1:23" s="12" customFormat="1" ht="24" customHeight="1" x14ac:dyDescent="0.25">
      <c r="A33" s="6" t="s">
        <v>426</v>
      </c>
      <c r="B33" s="6" t="s">
        <v>421</v>
      </c>
      <c r="C33" s="6" t="s">
        <v>422</v>
      </c>
      <c r="D33" s="6" t="s">
        <v>297</v>
      </c>
      <c r="E33" s="6" t="s">
        <v>423</v>
      </c>
      <c r="F33" s="6" t="s">
        <v>371</v>
      </c>
      <c r="G33" s="6" t="s">
        <v>299</v>
      </c>
      <c r="H33" s="6" t="str">
        <f t="shared" si="0"/>
        <v>No</v>
      </c>
      <c r="I33" s="8" t="s">
        <v>57</v>
      </c>
      <c r="J33" s="8"/>
      <c r="K33" s="8"/>
      <c r="L33" s="8"/>
      <c r="M33" s="8" t="s">
        <v>300</v>
      </c>
      <c r="N33" s="8"/>
      <c r="O33" s="8" t="s">
        <v>269</v>
      </c>
      <c r="P33" s="9" t="s">
        <v>263</v>
      </c>
      <c r="Q33" s="9" t="s">
        <v>246</v>
      </c>
      <c r="R33" s="10">
        <f>COUNTIF('3. Databases'!$B$2:$B$56,$A33)</f>
        <v>0</v>
      </c>
      <c r="S33" s="10">
        <f>COUNTIFS('3. Databases'!$B$2:$B$56,$A33,'3. Databases'!$V$2:$V$56,"&lt;&gt;TBD",'3. Databases'!$V$2:$V$56,"&lt;&gt;")</f>
        <v>0</v>
      </c>
      <c r="T33" s="14" t="s">
        <v>427</v>
      </c>
      <c r="U33" s="14" t="s">
        <v>124</v>
      </c>
      <c r="V33" s="14" t="s">
        <v>304</v>
      </c>
      <c r="W33" s="14" t="s">
        <v>305</v>
      </c>
    </row>
    <row r="34" spans="1:23" s="12" customFormat="1" ht="25.5" customHeight="1" x14ac:dyDescent="0.25">
      <c r="A34" s="6" t="s">
        <v>428</v>
      </c>
      <c r="B34" s="6" t="s">
        <v>429</v>
      </c>
      <c r="C34" s="6" t="s">
        <v>430</v>
      </c>
      <c r="D34" s="6" t="s">
        <v>297</v>
      </c>
      <c r="E34" s="6" t="s">
        <v>313</v>
      </c>
      <c r="F34" s="6" t="s">
        <v>336</v>
      </c>
      <c r="G34" s="6" t="s">
        <v>299</v>
      </c>
      <c r="H34" s="6" t="str">
        <f t="shared" ref="H34:H59" si="1">IF(AND(ISNUMBER(SEARCH("Microsoft SQL Server",F34)),ISERROR(SEARCH("LocalDB",F34)),ISERROR(SEARCH("do not have any SQL/database installed",T34)),ISERROR(SEARCH("no business databases found",T34))),"Yes","No")</f>
        <v>Yes</v>
      </c>
      <c r="I34" s="8" t="s">
        <v>57</v>
      </c>
      <c r="J34" s="8" t="s">
        <v>241</v>
      </c>
      <c r="K34" s="8" t="s">
        <v>58</v>
      </c>
      <c r="L34" s="8" t="s">
        <v>203</v>
      </c>
      <c r="M34" s="8" t="s">
        <v>431</v>
      </c>
      <c r="N34" s="8" t="s">
        <v>374</v>
      </c>
      <c r="O34" s="8" t="s">
        <v>269</v>
      </c>
      <c r="P34" s="9" t="s">
        <v>263</v>
      </c>
      <c r="Q34" s="9" t="s">
        <v>246</v>
      </c>
      <c r="R34" s="10">
        <f>COUNTIF('3. Databases'!$B$2:$B$56,$A34)</f>
        <v>0</v>
      </c>
      <c r="S34" s="10">
        <f>COUNTIFS('3. Databases'!$B$2:$B$56,$A34,'3. Databases'!$V$2:$V$56,"&lt;&gt;TBD",'3. Databases'!$V$2:$V$56,"&lt;&gt;")</f>
        <v>0</v>
      </c>
      <c r="T34" s="13" t="s">
        <v>432</v>
      </c>
      <c r="U34" s="13" t="s">
        <v>433</v>
      </c>
      <c r="V34" s="13" t="s">
        <v>304</v>
      </c>
      <c r="W34" s="13" t="s">
        <v>305</v>
      </c>
    </row>
    <row r="35" spans="1:23" s="12" customFormat="1" ht="25.5" customHeight="1" x14ac:dyDescent="0.25">
      <c r="A35" s="6" t="s">
        <v>161</v>
      </c>
      <c r="B35" s="6" t="s">
        <v>434</v>
      </c>
      <c r="C35" s="6"/>
      <c r="D35" s="6"/>
      <c r="E35" s="6" t="s">
        <v>313</v>
      </c>
      <c r="F35" s="6" t="s">
        <v>336</v>
      </c>
      <c r="G35" s="6" t="s">
        <v>299</v>
      </c>
      <c r="H35" s="6" t="str">
        <f t="shared" si="1"/>
        <v>Yes</v>
      </c>
      <c r="I35" s="8" t="s">
        <v>57</v>
      </c>
      <c r="J35" s="8" t="s">
        <v>241</v>
      </c>
      <c r="K35" s="8" t="s">
        <v>58</v>
      </c>
      <c r="L35" s="8" t="s">
        <v>203</v>
      </c>
      <c r="M35" s="8" t="s">
        <v>431</v>
      </c>
      <c r="N35" s="8" t="s">
        <v>374</v>
      </c>
      <c r="O35" s="8" t="s">
        <v>41</v>
      </c>
      <c r="P35" s="9" t="s">
        <v>263</v>
      </c>
      <c r="Q35" s="9" t="s">
        <v>246</v>
      </c>
      <c r="R35" s="10">
        <f>COUNTIF('3. Databases'!$B$2:$B$56,$A35)</f>
        <v>0</v>
      </c>
      <c r="S35" s="10">
        <f>COUNTIFS('3. Databases'!$B$2:$B$56,$A35,'3. Databases'!$V$2:$V$56,"&lt;&gt;TBD",'3. Databases'!$V$2:$V$56,"&lt;&gt;")</f>
        <v>0</v>
      </c>
      <c r="T35" s="13" t="s">
        <v>432</v>
      </c>
      <c r="U35" s="13" t="s">
        <v>433</v>
      </c>
      <c r="V35" s="13" t="s">
        <v>304</v>
      </c>
      <c r="W35" s="13" t="s">
        <v>305</v>
      </c>
    </row>
    <row r="36" spans="1:23" s="12" customFormat="1" ht="25.5" customHeight="1" x14ac:dyDescent="0.25">
      <c r="A36" s="6" t="s">
        <v>435</v>
      </c>
      <c r="B36" s="6" t="s">
        <v>436</v>
      </c>
      <c r="C36" s="6" t="s">
        <v>437</v>
      </c>
      <c r="D36" s="6" t="s">
        <v>288</v>
      </c>
      <c r="E36" s="6" t="s">
        <v>313</v>
      </c>
      <c r="F36" s="6" t="s">
        <v>336</v>
      </c>
      <c r="G36" s="6" t="s">
        <v>299</v>
      </c>
      <c r="H36" s="6" t="str">
        <f t="shared" si="1"/>
        <v>Yes</v>
      </c>
      <c r="I36" s="8" t="s">
        <v>203</v>
      </c>
      <c r="J36" s="8" t="s">
        <v>241</v>
      </c>
      <c r="K36" s="8" t="s">
        <v>58</v>
      </c>
      <c r="L36" s="8" t="s">
        <v>203</v>
      </c>
      <c r="M36" s="8" t="s">
        <v>431</v>
      </c>
      <c r="N36" s="8" t="s">
        <v>374</v>
      </c>
      <c r="O36" s="8" t="s">
        <v>269</v>
      </c>
      <c r="P36" s="9" t="s">
        <v>263</v>
      </c>
      <c r="Q36" s="9" t="s">
        <v>246</v>
      </c>
      <c r="R36" s="10">
        <f>COUNTIF('3. Databases'!$B$2:$B$56,$A36)</f>
        <v>0</v>
      </c>
      <c r="S36" s="10">
        <f>COUNTIFS('3. Databases'!$B$2:$B$56,$A36,'3. Databases'!$V$2:$V$56,"&lt;&gt;TBD",'3. Databases'!$V$2:$V$56,"&lt;&gt;")</f>
        <v>0</v>
      </c>
      <c r="T36" s="13" t="s">
        <v>432</v>
      </c>
      <c r="U36" s="13" t="s">
        <v>433</v>
      </c>
      <c r="V36" s="13" t="s">
        <v>304</v>
      </c>
      <c r="W36" s="13" t="s">
        <v>305</v>
      </c>
    </row>
    <row r="37" spans="1:23" s="12" customFormat="1" ht="36" customHeight="1" x14ac:dyDescent="0.25">
      <c r="A37" s="6" t="s">
        <v>438</v>
      </c>
      <c r="B37" s="6" t="s">
        <v>439</v>
      </c>
      <c r="C37" s="6" t="s">
        <v>440</v>
      </c>
      <c r="D37" s="6" t="s">
        <v>297</v>
      </c>
      <c r="E37" s="6" t="s">
        <v>313</v>
      </c>
      <c r="F37" s="6" t="s">
        <v>441</v>
      </c>
      <c r="G37" s="6" t="s">
        <v>291</v>
      </c>
      <c r="H37" s="6" t="str">
        <f t="shared" si="1"/>
        <v>No</v>
      </c>
      <c r="I37" s="8" t="s">
        <v>57</v>
      </c>
      <c r="J37" s="8" t="s">
        <v>255</v>
      </c>
      <c r="K37" s="8" t="s">
        <v>48</v>
      </c>
      <c r="L37" s="8" t="s">
        <v>203</v>
      </c>
      <c r="M37" s="8" t="s">
        <v>308</v>
      </c>
      <c r="N37" s="8" t="s">
        <v>374</v>
      </c>
      <c r="O37" s="8" t="s">
        <v>269</v>
      </c>
      <c r="P37" s="9" t="s">
        <v>263</v>
      </c>
      <c r="Q37" s="9" t="s">
        <v>246</v>
      </c>
      <c r="R37" s="10">
        <f>COUNTIF('3. Databases'!$B$2:$B$56,$A37)</f>
        <v>0</v>
      </c>
      <c r="S37" s="10">
        <f>COUNTIFS('3. Databases'!$B$2:$B$56,$A37,'3. Databases'!$V$2:$V$56,"&lt;&gt;TBD",'3. Databases'!$V$2:$V$56,"&lt;&gt;")</f>
        <v>0</v>
      </c>
      <c r="T37" s="14" t="s">
        <v>442</v>
      </c>
      <c r="U37" s="11" t="s">
        <v>323</v>
      </c>
      <c r="V37" s="11" t="s">
        <v>304</v>
      </c>
      <c r="W37" s="11" t="s">
        <v>305</v>
      </c>
    </row>
    <row r="38" spans="1:23" s="12" customFormat="1" ht="36" customHeight="1" x14ac:dyDescent="0.25">
      <c r="A38" s="6" t="s">
        <v>443</v>
      </c>
      <c r="B38" s="6" t="s">
        <v>444</v>
      </c>
      <c r="C38" s="6" t="s">
        <v>445</v>
      </c>
      <c r="D38" s="6" t="s">
        <v>297</v>
      </c>
      <c r="E38" s="6" t="s">
        <v>313</v>
      </c>
      <c r="F38" s="6" t="s">
        <v>441</v>
      </c>
      <c r="G38" s="6" t="s">
        <v>291</v>
      </c>
      <c r="H38" s="6" t="str">
        <f t="shared" si="1"/>
        <v>No</v>
      </c>
      <c r="I38" s="8" t="s">
        <v>57</v>
      </c>
      <c r="J38" s="8" t="s">
        <v>255</v>
      </c>
      <c r="K38" s="8" t="s">
        <v>48</v>
      </c>
      <c r="L38" s="8" t="s">
        <v>203</v>
      </c>
      <c r="M38" s="8" t="s">
        <v>308</v>
      </c>
      <c r="N38" s="8" t="s">
        <v>374</v>
      </c>
      <c r="O38" s="8" t="s">
        <v>269</v>
      </c>
      <c r="P38" s="9" t="s">
        <v>263</v>
      </c>
      <c r="Q38" s="9" t="s">
        <v>246</v>
      </c>
      <c r="R38" s="10">
        <f>COUNTIF('3. Databases'!$B$2:$B$56,$A38)</f>
        <v>0</v>
      </c>
      <c r="S38" s="10">
        <f>COUNTIFS('3. Databases'!$B$2:$B$56,$A38,'3. Databases'!$V$2:$V$56,"&lt;&gt;TBD",'3. Databases'!$V$2:$V$56,"&lt;&gt;")</f>
        <v>0</v>
      </c>
      <c r="T38" s="14" t="s">
        <v>442</v>
      </c>
      <c r="U38" s="11" t="s">
        <v>323</v>
      </c>
      <c r="V38" s="11" t="s">
        <v>304</v>
      </c>
      <c r="W38" s="11" t="s">
        <v>305</v>
      </c>
    </row>
    <row r="39" spans="1:23" s="12" customFormat="1" ht="48" customHeight="1" x14ac:dyDescent="0.25">
      <c r="A39" s="6" t="s">
        <v>178</v>
      </c>
      <c r="B39" s="6" t="s">
        <v>446</v>
      </c>
      <c r="C39" s="6" t="s">
        <v>447</v>
      </c>
      <c r="D39" s="6" t="s">
        <v>297</v>
      </c>
      <c r="E39" s="6" t="s">
        <v>313</v>
      </c>
      <c r="F39" s="6" t="s">
        <v>336</v>
      </c>
      <c r="G39" s="6" t="s">
        <v>299</v>
      </c>
      <c r="H39" s="6" t="str">
        <f t="shared" si="1"/>
        <v>Yes</v>
      </c>
      <c r="I39" s="8" t="s">
        <v>57</v>
      </c>
      <c r="J39" s="8" t="s">
        <v>241</v>
      </c>
      <c r="K39" s="8" t="s">
        <v>58</v>
      </c>
      <c r="L39" s="8" t="s">
        <v>203</v>
      </c>
      <c r="M39" s="8" t="s">
        <v>448</v>
      </c>
      <c r="N39" s="8" t="s">
        <v>374</v>
      </c>
      <c r="O39" s="8" t="s">
        <v>269</v>
      </c>
      <c r="P39" s="9" t="s">
        <v>254</v>
      </c>
      <c r="Q39" s="9" t="s">
        <v>246</v>
      </c>
      <c r="R39" s="10">
        <f>COUNTIF('3. Databases'!$B$2:$B$56,$A39)</f>
        <v>0</v>
      </c>
      <c r="S39" s="10">
        <f>COUNTIFS('3. Databases'!$B$2:$B$56,$A39,'3. Databases'!$V$2:$V$56,"&lt;&gt;TBD",'3. Databases'!$V$2:$V$56,"&lt;&gt;")</f>
        <v>0</v>
      </c>
      <c r="T39" s="11" t="s">
        <v>368</v>
      </c>
      <c r="U39" s="14" t="s">
        <v>449</v>
      </c>
      <c r="V39" s="14" t="s">
        <v>327</v>
      </c>
      <c r="W39" s="14" t="s">
        <v>328</v>
      </c>
    </row>
    <row r="40" spans="1:23" s="12" customFormat="1" ht="48" customHeight="1" x14ac:dyDescent="0.25">
      <c r="A40" s="6" t="s">
        <v>115</v>
      </c>
      <c r="B40" s="6" t="s">
        <v>450</v>
      </c>
      <c r="C40" s="6" t="s">
        <v>451</v>
      </c>
      <c r="D40" s="6" t="s">
        <v>297</v>
      </c>
      <c r="E40" s="6" t="s">
        <v>313</v>
      </c>
      <c r="F40" s="6" t="s">
        <v>336</v>
      </c>
      <c r="G40" s="6" t="s">
        <v>299</v>
      </c>
      <c r="H40" s="6" t="str">
        <f t="shared" si="1"/>
        <v>Yes</v>
      </c>
      <c r="I40" s="8" t="s">
        <v>57</v>
      </c>
      <c r="J40" s="8" t="s">
        <v>241</v>
      </c>
      <c r="K40" s="8" t="s">
        <v>58</v>
      </c>
      <c r="L40" s="8" t="s">
        <v>203</v>
      </c>
      <c r="M40" s="8" t="s">
        <v>308</v>
      </c>
      <c r="N40" s="8" t="s">
        <v>374</v>
      </c>
      <c r="O40" s="8" t="s">
        <v>269</v>
      </c>
      <c r="P40" s="9" t="s">
        <v>254</v>
      </c>
      <c r="Q40" s="9" t="s">
        <v>246</v>
      </c>
      <c r="R40" s="10">
        <f>COUNTIF('3. Databases'!$B$2:$B$56,$A40)</f>
        <v>0</v>
      </c>
      <c r="S40" s="10">
        <f>COUNTIFS('3. Databases'!$B$2:$B$56,$A40,'3. Databases'!$V$2:$V$56,"&lt;&gt;TBD",'3. Databases'!$V$2:$V$56,"&lt;&gt;")</f>
        <v>0</v>
      </c>
      <c r="T40" s="11" t="s">
        <v>368</v>
      </c>
      <c r="U40" s="14" t="s">
        <v>452</v>
      </c>
      <c r="V40" s="14" t="s">
        <v>327</v>
      </c>
      <c r="W40" s="14" t="s">
        <v>328</v>
      </c>
    </row>
    <row r="41" spans="1:23" s="12" customFormat="1" ht="60" customHeight="1" x14ac:dyDescent="0.25">
      <c r="A41" s="6" t="s">
        <v>453</v>
      </c>
      <c r="B41" s="6" t="s">
        <v>454</v>
      </c>
      <c r="C41" s="6" t="s">
        <v>455</v>
      </c>
      <c r="D41" s="6" t="s">
        <v>297</v>
      </c>
      <c r="E41" s="6" t="s">
        <v>313</v>
      </c>
      <c r="F41" s="6" t="s">
        <v>336</v>
      </c>
      <c r="G41" s="6" t="s">
        <v>315</v>
      </c>
      <c r="H41" s="6" t="str">
        <f t="shared" si="1"/>
        <v>No</v>
      </c>
      <c r="I41" s="8" t="s">
        <v>57</v>
      </c>
      <c r="J41" s="8" t="s">
        <v>241</v>
      </c>
      <c r="K41" s="8" t="s">
        <v>48</v>
      </c>
      <c r="L41" s="8" t="s">
        <v>203</v>
      </c>
      <c r="M41" s="8" t="s">
        <v>308</v>
      </c>
      <c r="N41" s="8"/>
      <c r="O41" s="8" t="s">
        <v>269</v>
      </c>
      <c r="P41" s="9" t="s">
        <v>263</v>
      </c>
      <c r="Q41" s="9" t="s">
        <v>246</v>
      </c>
      <c r="R41" s="10">
        <f>COUNTIF('3. Databases'!$B$2:$B$56,$A41)</f>
        <v>0</v>
      </c>
      <c r="S41" s="10">
        <f>COUNTIFS('3. Databases'!$B$2:$B$56,$A41,'3. Databases'!$V$2:$V$56,"&lt;&gt;TBD",'3. Databases'!$V$2:$V$56,"&lt;&gt;")</f>
        <v>0</v>
      </c>
      <c r="T41" s="14" t="s">
        <v>357</v>
      </c>
      <c r="U41" s="14" t="s">
        <v>456</v>
      </c>
      <c r="V41" s="14" t="s">
        <v>304</v>
      </c>
      <c r="W41" s="14" t="s">
        <v>305</v>
      </c>
    </row>
    <row r="42" spans="1:23" s="12" customFormat="1" ht="72" customHeight="1" x14ac:dyDescent="0.25">
      <c r="A42" s="6" t="s">
        <v>63</v>
      </c>
      <c r="B42" s="6" t="s">
        <v>457</v>
      </c>
      <c r="C42" s="6" t="s">
        <v>458</v>
      </c>
      <c r="D42" s="6" t="s">
        <v>297</v>
      </c>
      <c r="E42" s="6" t="s">
        <v>313</v>
      </c>
      <c r="F42" s="6" t="s">
        <v>298</v>
      </c>
      <c r="G42" s="6" t="s">
        <v>299</v>
      </c>
      <c r="H42" s="6" t="str">
        <f t="shared" si="1"/>
        <v>Yes</v>
      </c>
      <c r="I42" s="8" t="s">
        <v>57</v>
      </c>
      <c r="J42" s="8"/>
      <c r="K42" s="8" t="s">
        <v>58</v>
      </c>
      <c r="L42" s="8" t="s">
        <v>203</v>
      </c>
      <c r="M42" s="8" t="s">
        <v>300</v>
      </c>
      <c r="N42" s="8" t="s">
        <v>301</v>
      </c>
      <c r="O42" s="8" t="s">
        <v>269</v>
      </c>
      <c r="P42" s="9" t="s">
        <v>254</v>
      </c>
      <c r="Q42" s="9" t="s">
        <v>246</v>
      </c>
      <c r="R42" s="10">
        <f>COUNTIF('3. Databases'!$B$2:$B$56,$A42)</f>
        <v>0</v>
      </c>
      <c r="S42" s="10">
        <f>COUNTIFS('3. Databases'!$B$2:$B$56,$A42,'3. Databases'!$V$2:$V$56,"&lt;&gt;TBD",'3. Databases'!$V$2:$V$56,"&lt;&gt;")</f>
        <v>0</v>
      </c>
      <c r="T42" s="11" t="s">
        <v>368</v>
      </c>
      <c r="U42" s="14" t="s">
        <v>459</v>
      </c>
      <c r="V42" s="14" t="s">
        <v>327</v>
      </c>
      <c r="W42" s="14" t="s">
        <v>328</v>
      </c>
    </row>
    <row r="43" spans="1:23" s="12" customFormat="1" ht="24" customHeight="1" x14ac:dyDescent="0.25">
      <c r="A43" s="6" t="s">
        <v>460</v>
      </c>
      <c r="B43" s="6" t="s">
        <v>457</v>
      </c>
      <c r="C43" s="6" t="s">
        <v>458</v>
      </c>
      <c r="D43" s="6" t="s">
        <v>297</v>
      </c>
      <c r="E43" s="6" t="s">
        <v>313</v>
      </c>
      <c r="F43" s="6" t="s">
        <v>290</v>
      </c>
      <c r="G43" s="6" t="s">
        <v>291</v>
      </c>
      <c r="H43" s="6" t="str">
        <f t="shared" si="1"/>
        <v>No</v>
      </c>
      <c r="I43" s="8" t="s">
        <v>57</v>
      </c>
      <c r="J43" s="8" t="s">
        <v>241</v>
      </c>
      <c r="K43" s="8" t="s">
        <v>58</v>
      </c>
      <c r="L43" s="8" t="s">
        <v>203</v>
      </c>
      <c r="M43" s="8" t="s">
        <v>300</v>
      </c>
      <c r="N43" s="8" t="s">
        <v>301</v>
      </c>
      <c r="O43" s="8" t="s">
        <v>269</v>
      </c>
      <c r="P43" s="9" t="s">
        <v>263</v>
      </c>
      <c r="Q43" s="9" t="s">
        <v>246</v>
      </c>
      <c r="R43" s="10">
        <f>COUNTIF('3. Databases'!$B$2:$B$56,$A43)</f>
        <v>0</v>
      </c>
      <c r="S43" s="10">
        <f>COUNTIFS('3. Databases'!$B$2:$B$56,$A43,'3. Databases'!$V$2:$V$56,"&lt;&gt;TBD",'3. Databases'!$V$2:$V$56,"&lt;&gt;")</f>
        <v>0</v>
      </c>
      <c r="T43" s="11" t="s">
        <v>427</v>
      </c>
      <c r="U43" s="11" t="s">
        <v>124</v>
      </c>
      <c r="V43" s="11" t="s">
        <v>293</v>
      </c>
      <c r="W43" s="11" t="s">
        <v>294</v>
      </c>
    </row>
    <row r="44" spans="1:23" s="12" customFormat="1" ht="24" customHeight="1" x14ac:dyDescent="0.25">
      <c r="A44" s="6" t="s">
        <v>461</v>
      </c>
      <c r="B44" s="6" t="s">
        <v>457</v>
      </c>
      <c r="C44" s="6" t="s">
        <v>458</v>
      </c>
      <c r="D44" s="6" t="s">
        <v>297</v>
      </c>
      <c r="E44" s="6" t="s">
        <v>313</v>
      </c>
      <c r="F44" s="6" t="s">
        <v>371</v>
      </c>
      <c r="G44" s="6" t="s">
        <v>299</v>
      </c>
      <c r="H44" s="6" t="str">
        <f t="shared" si="1"/>
        <v>No</v>
      </c>
      <c r="I44" s="8" t="s">
        <v>57</v>
      </c>
      <c r="J44" s="8"/>
      <c r="K44" s="8" t="s">
        <v>58</v>
      </c>
      <c r="L44" s="8" t="s">
        <v>203</v>
      </c>
      <c r="M44" s="8" t="s">
        <v>300</v>
      </c>
      <c r="N44" s="8" t="s">
        <v>301</v>
      </c>
      <c r="O44" s="8" t="s">
        <v>269</v>
      </c>
      <c r="P44" s="9" t="s">
        <v>263</v>
      </c>
      <c r="Q44" s="9" t="s">
        <v>246</v>
      </c>
      <c r="R44" s="10">
        <f>COUNTIF('3. Databases'!$B$2:$B$56,$A44)</f>
        <v>0</v>
      </c>
      <c r="S44" s="10">
        <f>COUNTIFS('3. Databases'!$B$2:$B$56,$A44,'3. Databases'!$V$2:$V$56,"&lt;&gt;TBD",'3. Databases'!$V$2:$V$56,"&lt;&gt;")</f>
        <v>0</v>
      </c>
      <c r="T44" s="11" t="s">
        <v>368</v>
      </c>
      <c r="U44" s="11" t="s">
        <v>462</v>
      </c>
      <c r="V44" s="11" t="s">
        <v>304</v>
      </c>
      <c r="W44" s="11" t="s">
        <v>305</v>
      </c>
    </row>
    <row r="45" spans="1:23" s="12" customFormat="1" ht="25.5" customHeight="1" x14ac:dyDescent="0.25">
      <c r="A45" s="6" t="s">
        <v>463</v>
      </c>
      <c r="B45" s="6" t="s">
        <v>464</v>
      </c>
      <c r="C45" s="6" t="s">
        <v>465</v>
      </c>
      <c r="D45" s="6" t="s">
        <v>297</v>
      </c>
      <c r="E45" s="6" t="s">
        <v>313</v>
      </c>
      <c r="F45" s="6" t="s">
        <v>298</v>
      </c>
      <c r="G45" s="6" t="s">
        <v>299</v>
      </c>
      <c r="H45" s="6" t="str">
        <f t="shared" si="1"/>
        <v>Yes</v>
      </c>
      <c r="I45" s="8" t="s">
        <v>57</v>
      </c>
      <c r="J45" s="8"/>
      <c r="K45" s="8" t="s">
        <v>58</v>
      </c>
      <c r="L45" s="8" t="s">
        <v>203</v>
      </c>
      <c r="M45" s="8" t="s">
        <v>431</v>
      </c>
      <c r="N45" s="8" t="s">
        <v>466</v>
      </c>
      <c r="O45" s="8" t="s">
        <v>269</v>
      </c>
      <c r="P45" s="9" t="s">
        <v>263</v>
      </c>
      <c r="Q45" s="9" t="s">
        <v>246</v>
      </c>
      <c r="R45" s="10">
        <f>COUNTIF('3. Databases'!$B$2:$B$56,$A45)</f>
        <v>0</v>
      </c>
      <c r="S45" s="10">
        <f>COUNTIFS('3. Databases'!$B$2:$B$56,$A45,'3. Databases'!$V$2:$V$56,"&lt;&gt;TBD",'3. Databases'!$V$2:$V$56,"&lt;&gt;")</f>
        <v>0</v>
      </c>
      <c r="T45" s="13" t="s">
        <v>432</v>
      </c>
      <c r="U45" s="13" t="s">
        <v>433</v>
      </c>
      <c r="V45" s="13" t="s">
        <v>304</v>
      </c>
      <c r="W45" s="13" t="s">
        <v>305</v>
      </c>
    </row>
    <row r="46" spans="1:23" s="12" customFormat="1" ht="25.5" customHeight="1" x14ac:dyDescent="0.25">
      <c r="A46" s="6" t="s">
        <v>467</v>
      </c>
      <c r="B46" s="6" t="s">
        <v>468</v>
      </c>
      <c r="C46" s="6" t="s">
        <v>469</v>
      </c>
      <c r="D46" s="6" t="s">
        <v>297</v>
      </c>
      <c r="E46" s="6" t="s">
        <v>289</v>
      </c>
      <c r="F46" s="6" t="s">
        <v>298</v>
      </c>
      <c r="G46" s="6" t="s">
        <v>299</v>
      </c>
      <c r="H46" s="6" t="str">
        <f t="shared" si="1"/>
        <v>Yes</v>
      </c>
      <c r="I46" s="8" t="s">
        <v>57</v>
      </c>
      <c r="J46" s="8" t="s">
        <v>241</v>
      </c>
      <c r="K46" s="8" t="s">
        <v>58</v>
      </c>
      <c r="L46" s="8" t="s">
        <v>203</v>
      </c>
      <c r="M46" s="8" t="s">
        <v>431</v>
      </c>
      <c r="N46" s="8"/>
      <c r="O46" s="8" t="s">
        <v>269</v>
      </c>
      <c r="P46" s="9" t="s">
        <v>263</v>
      </c>
      <c r="Q46" s="9" t="s">
        <v>246</v>
      </c>
      <c r="R46" s="10">
        <f>COUNTIF('3. Databases'!$B$2:$B$56,$A46)</f>
        <v>0</v>
      </c>
      <c r="S46" s="10">
        <f>COUNTIFS('3. Databases'!$B$2:$B$56,$A46,'3. Databases'!$V$2:$V$56,"&lt;&gt;TBD",'3. Databases'!$V$2:$V$56,"&lt;&gt;")</f>
        <v>0</v>
      </c>
      <c r="T46" s="13" t="s">
        <v>432</v>
      </c>
      <c r="U46" s="13" t="s">
        <v>433</v>
      </c>
      <c r="V46" s="13" t="s">
        <v>304</v>
      </c>
      <c r="W46" s="13" t="s">
        <v>305</v>
      </c>
    </row>
    <row r="47" spans="1:23" s="12" customFormat="1" ht="25.5" customHeight="1" x14ac:dyDescent="0.25">
      <c r="A47" s="6" t="s">
        <v>470</v>
      </c>
      <c r="B47" s="6" t="s">
        <v>471</v>
      </c>
      <c r="C47" s="6" t="s">
        <v>472</v>
      </c>
      <c r="D47" s="6" t="s">
        <v>288</v>
      </c>
      <c r="E47" s="6" t="s">
        <v>313</v>
      </c>
      <c r="F47" s="6" t="s">
        <v>336</v>
      </c>
      <c r="G47" s="6" t="s">
        <v>299</v>
      </c>
      <c r="H47" s="6" t="str">
        <f t="shared" si="1"/>
        <v>Yes</v>
      </c>
      <c r="I47" s="8" t="s">
        <v>203</v>
      </c>
      <c r="J47" s="8" t="s">
        <v>241</v>
      </c>
      <c r="K47" s="8" t="s">
        <v>58</v>
      </c>
      <c r="L47" s="8" t="s">
        <v>203</v>
      </c>
      <c r="M47" s="8" t="s">
        <v>431</v>
      </c>
      <c r="N47" s="8" t="s">
        <v>374</v>
      </c>
      <c r="O47" s="8" t="s">
        <v>269</v>
      </c>
      <c r="P47" s="9" t="s">
        <v>263</v>
      </c>
      <c r="Q47" s="9" t="s">
        <v>246</v>
      </c>
      <c r="R47" s="10">
        <f>COUNTIF('3. Databases'!$B$2:$B$56,$A47)</f>
        <v>0</v>
      </c>
      <c r="S47" s="10">
        <f>COUNTIFS('3. Databases'!$B$2:$B$56,$A47,'3. Databases'!$V$2:$V$56,"&lt;&gt;TBD",'3. Databases'!$V$2:$V$56,"&lt;&gt;")</f>
        <v>0</v>
      </c>
      <c r="T47" s="13" t="s">
        <v>432</v>
      </c>
      <c r="U47" s="13" t="s">
        <v>433</v>
      </c>
      <c r="V47" s="13" t="s">
        <v>304</v>
      </c>
      <c r="W47" s="13" t="s">
        <v>305</v>
      </c>
    </row>
    <row r="48" spans="1:23" s="12" customFormat="1" ht="60" customHeight="1" x14ac:dyDescent="0.25">
      <c r="A48" s="6" t="s">
        <v>180</v>
      </c>
      <c r="B48" s="6" t="s">
        <v>473</v>
      </c>
      <c r="C48" s="6" t="s">
        <v>474</v>
      </c>
      <c r="D48" s="6" t="s">
        <v>288</v>
      </c>
      <c r="E48" s="6" t="s">
        <v>313</v>
      </c>
      <c r="F48" s="6" t="s">
        <v>298</v>
      </c>
      <c r="G48" s="6" t="s">
        <v>299</v>
      </c>
      <c r="H48" s="6" t="str">
        <f t="shared" si="1"/>
        <v>Yes</v>
      </c>
      <c r="I48" s="8" t="s">
        <v>203</v>
      </c>
      <c r="J48" s="8"/>
      <c r="K48" s="8" t="s">
        <v>58</v>
      </c>
      <c r="L48" s="8" t="s">
        <v>203</v>
      </c>
      <c r="M48" s="8" t="s">
        <v>300</v>
      </c>
      <c r="N48" s="8" t="s">
        <v>301</v>
      </c>
      <c r="O48" s="8" t="s">
        <v>269</v>
      </c>
      <c r="P48" s="9" t="s">
        <v>254</v>
      </c>
      <c r="Q48" s="9" t="s">
        <v>246</v>
      </c>
      <c r="R48" s="10">
        <f>COUNTIF('3. Databases'!$B$2:$B$56,$A48)</f>
        <v>27</v>
      </c>
      <c r="S48" s="10">
        <f>COUNTIFS('3. Databases'!$B$2:$B$56,$A48,'3. Databases'!$V$2:$V$56,"&lt;&gt;TBD",'3. Databases'!$V$2:$V$56,"&lt;&gt;")</f>
        <v>0</v>
      </c>
      <c r="T48" s="11" t="s">
        <v>368</v>
      </c>
      <c r="U48" s="14" t="s">
        <v>475</v>
      </c>
      <c r="V48" s="14" t="s">
        <v>327</v>
      </c>
      <c r="W48" s="14" t="s">
        <v>328</v>
      </c>
    </row>
    <row r="49" spans="1:23" s="12" customFormat="1" ht="24" customHeight="1" x14ac:dyDescent="0.25">
      <c r="A49" s="6" t="s">
        <v>476</v>
      </c>
      <c r="B49" s="6" t="s">
        <v>473</v>
      </c>
      <c r="C49" s="6" t="s">
        <v>474</v>
      </c>
      <c r="D49" s="6" t="s">
        <v>288</v>
      </c>
      <c r="E49" s="6" t="s">
        <v>313</v>
      </c>
      <c r="F49" s="6" t="s">
        <v>290</v>
      </c>
      <c r="G49" s="6" t="s">
        <v>291</v>
      </c>
      <c r="H49" s="6" t="str">
        <f t="shared" si="1"/>
        <v>No</v>
      </c>
      <c r="I49" s="8" t="s">
        <v>203</v>
      </c>
      <c r="J49" s="8"/>
      <c r="K49" s="8" t="s">
        <v>58</v>
      </c>
      <c r="L49" s="8" t="s">
        <v>203</v>
      </c>
      <c r="M49" s="8" t="s">
        <v>308</v>
      </c>
      <c r="N49" s="8"/>
      <c r="O49" s="8" t="s">
        <v>269</v>
      </c>
      <c r="P49" s="9" t="s">
        <v>263</v>
      </c>
      <c r="Q49" s="9" t="s">
        <v>246</v>
      </c>
      <c r="R49" s="10">
        <f>COUNTIF('3. Databases'!$B$2:$B$56,$A49)</f>
        <v>0</v>
      </c>
      <c r="S49" s="10">
        <f>COUNTIFS('3. Databases'!$B$2:$B$56,$A49,'3. Databases'!$V$2:$V$56,"&lt;&gt;TBD",'3. Databases'!$V$2:$V$56,"&lt;&gt;")</f>
        <v>0</v>
      </c>
      <c r="T49" s="11" t="s">
        <v>292</v>
      </c>
      <c r="U49" s="11" t="s">
        <v>124</v>
      </c>
      <c r="V49" s="11" t="s">
        <v>293</v>
      </c>
      <c r="W49" s="11" t="s">
        <v>294</v>
      </c>
    </row>
    <row r="50" spans="1:23" s="12" customFormat="1" ht="48" customHeight="1" x14ac:dyDescent="0.25">
      <c r="A50" s="6" t="s">
        <v>209</v>
      </c>
      <c r="B50" s="6" t="s">
        <v>477</v>
      </c>
      <c r="C50" s="6" t="s">
        <v>478</v>
      </c>
      <c r="D50" s="6" t="s">
        <v>288</v>
      </c>
      <c r="E50" s="6" t="s">
        <v>313</v>
      </c>
      <c r="F50" s="6" t="s">
        <v>298</v>
      </c>
      <c r="G50" s="6" t="s">
        <v>299</v>
      </c>
      <c r="H50" s="6" t="str">
        <f t="shared" si="1"/>
        <v>Yes</v>
      </c>
      <c r="I50" s="8" t="s">
        <v>203</v>
      </c>
      <c r="J50" s="8"/>
      <c r="K50" s="8" t="s">
        <v>48</v>
      </c>
      <c r="L50" s="8" t="s">
        <v>203</v>
      </c>
      <c r="M50" s="8" t="s">
        <v>300</v>
      </c>
      <c r="N50" s="8" t="s">
        <v>361</v>
      </c>
      <c r="O50" s="8" t="s">
        <v>269</v>
      </c>
      <c r="P50" s="9" t="s">
        <v>254</v>
      </c>
      <c r="Q50" s="9" t="s">
        <v>246</v>
      </c>
      <c r="R50" s="10">
        <f>COUNTIF('3. Databases'!$B$2:$B$56,$A50)</f>
        <v>4</v>
      </c>
      <c r="S50" s="10">
        <f>COUNTIFS('3. Databases'!$B$2:$B$56,$A50,'3. Databases'!$V$2:$V$56,"&lt;&gt;TBD",'3. Databases'!$V$2:$V$56,"&lt;&gt;")</f>
        <v>0</v>
      </c>
      <c r="T50" s="11" t="s">
        <v>368</v>
      </c>
      <c r="U50" s="14" t="s">
        <v>479</v>
      </c>
      <c r="V50" s="14" t="s">
        <v>327</v>
      </c>
      <c r="W50" s="14" t="s">
        <v>328</v>
      </c>
    </row>
    <row r="51" spans="1:23" s="12" customFormat="1" ht="72" customHeight="1" x14ac:dyDescent="0.25">
      <c r="A51" s="6" t="s">
        <v>226</v>
      </c>
      <c r="B51" s="6" t="s">
        <v>480</v>
      </c>
      <c r="C51" s="6" t="s">
        <v>481</v>
      </c>
      <c r="D51" s="6" t="s">
        <v>297</v>
      </c>
      <c r="E51" s="6" t="s">
        <v>313</v>
      </c>
      <c r="F51" s="6" t="s">
        <v>298</v>
      </c>
      <c r="G51" s="6" t="s">
        <v>299</v>
      </c>
      <c r="H51" s="6" t="str">
        <f t="shared" si="1"/>
        <v>Yes</v>
      </c>
      <c r="I51" s="8" t="s">
        <v>57</v>
      </c>
      <c r="J51" s="8"/>
      <c r="K51" s="8" t="s">
        <v>58</v>
      </c>
      <c r="L51" s="8" t="s">
        <v>203</v>
      </c>
      <c r="M51" s="8" t="s">
        <v>300</v>
      </c>
      <c r="N51" s="8" t="s">
        <v>301</v>
      </c>
      <c r="O51" s="8" t="s">
        <v>269</v>
      </c>
      <c r="P51" s="9" t="s">
        <v>254</v>
      </c>
      <c r="Q51" s="9" t="s">
        <v>246</v>
      </c>
      <c r="R51" s="10">
        <f>COUNTIF('3. Databases'!$B$2:$B$56,$A51)</f>
        <v>2</v>
      </c>
      <c r="S51" s="10">
        <f>COUNTIFS('3. Databases'!$B$2:$B$56,$A51,'3. Databases'!$V$2:$V$56,"&lt;&gt;TBD",'3. Databases'!$V$2:$V$56,"&lt;&gt;")</f>
        <v>0</v>
      </c>
      <c r="T51" s="11" t="s">
        <v>368</v>
      </c>
      <c r="U51" s="14" t="s">
        <v>459</v>
      </c>
      <c r="V51" s="14" t="s">
        <v>327</v>
      </c>
      <c r="W51" s="14" t="s">
        <v>328</v>
      </c>
    </row>
    <row r="52" spans="1:23" s="12" customFormat="1" ht="96" customHeight="1" x14ac:dyDescent="0.25">
      <c r="A52" s="6" t="s">
        <v>217</v>
      </c>
      <c r="B52" s="6" t="s">
        <v>482</v>
      </c>
      <c r="C52" s="6" t="s">
        <v>483</v>
      </c>
      <c r="D52" s="6" t="s">
        <v>297</v>
      </c>
      <c r="E52" s="6" t="s">
        <v>313</v>
      </c>
      <c r="F52" s="6" t="s">
        <v>336</v>
      </c>
      <c r="G52" s="6" t="s">
        <v>299</v>
      </c>
      <c r="H52" s="6" t="str">
        <f t="shared" si="1"/>
        <v>Yes</v>
      </c>
      <c r="I52" s="8" t="s">
        <v>57</v>
      </c>
      <c r="J52" s="8" t="s">
        <v>241</v>
      </c>
      <c r="K52" s="8" t="s">
        <v>58</v>
      </c>
      <c r="L52" s="8" t="s">
        <v>203</v>
      </c>
      <c r="M52" s="8" t="s">
        <v>308</v>
      </c>
      <c r="N52" s="8" t="s">
        <v>374</v>
      </c>
      <c r="O52" s="8" t="s">
        <v>269</v>
      </c>
      <c r="P52" s="9" t="s">
        <v>254</v>
      </c>
      <c r="Q52" s="9" t="s">
        <v>246</v>
      </c>
      <c r="R52" s="10">
        <f>COUNTIF('3. Databases'!$B$2:$B$56,$A52)</f>
        <v>0</v>
      </c>
      <c r="S52" s="10">
        <f>COUNTIFS('3. Databases'!$B$2:$B$56,$A52,'3. Databases'!$V$2:$V$56,"&lt;&gt;TBD",'3. Databases'!$V$2:$V$56,"&lt;&gt;")</f>
        <v>0</v>
      </c>
      <c r="T52" s="11" t="s">
        <v>368</v>
      </c>
      <c r="U52" s="14" t="s">
        <v>484</v>
      </c>
      <c r="V52" s="14" t="s">
        <v>327</v>
      </c>
      <c r="W52" s="14" t="s">
        <v>328</v>
      </c>
    </row>
    <row r="53" spans="1:23" s="12" customFormat="1" ht="72" customHeight="1" x14ac:dyDescent="0.25">
      <c r="A53" s="6" t="s">
        <v>485</v>
      </c>
      <c r="B53" s="6" t="s">
        <v>486</v>
      </c>
      <c r="C53" s="6" t="s">
        <v>487</v>
      </c>
      <c r="D53" s="6" t="s">
        <v>288</v>
      </c>
      <c r="E53" s="6" t="s">
        <v>313</v>
      </c>
      <c r="F53" s="6" t="s">
        <v>336</v>
      </c>
      <c r="G53" s="6" t="s">
        <v>315</v>
      </c>
      <c r="H53" s="6" t="str">
        <f t="shared" si="1"/>
        <v>No</v>
      </c>
      <c r="I53" s="8" t="s">
        <v>36</v>
      </c>
      <c r="J53" s="8" t="s">
        <v>241</v>
      </c>
      <c r="K53" s="8" t="s">
        <v>48</v>
      </c>
      <c r="L53" s="8" t="s">
        <v>203</v>
      </c>
      <c r="M53" s="8" t="s">
        <v>300</v>
      </c>
      <c r="N53" s="8" t="s">
        <v>301</v>
      </c>
      <c r="O53" s="8" t="s">
        <v>269</v>
      </c>
      <c r="P53" s="9" t="s">
        <v>263</v>
      </c>
      <c r="Q53" s="9" t="s">
        <v>246</v>
      </c>
      <c r="R53" s="10">
        <f>COUNTIF('3. Databases'!$B$2:$B$56,$A53)</f>
        <v>0</v>
      </c>
      <c r="S53" s="10">
        <f>COUNTIFS('3. Databases'!$B$2:$B$56,$A53,'3. Databases'!$V$2:$V$56,"&lt;&gt;TBD",'3. Databases'!$V$2:$V$56,"&lt;&gt;")</f>
        <v>0</v>
      </c>
      <c r="T53" s="14" t="s">
        <v>404</v>
      </c>
      <c r="U53" s="14" t="s">
        <v>488</v>
      </c>
      <c r="V53" s="14" t="s">
        <v>304</v>
      </c>
      <c r="W53" s="14" t="s">
        <v>305</v>
      </c>
    </row>
    <row r="54" spans="1:23" s="12" customFormat="1" ht="36" customHeight="1" x14ac:dyDescent="0.25">
      <c r="A54" s="6" t="s">
        <v>489</v>
      </c>
      <c r="B54" s="6" t="s">
        <v>486</v>
      </c>
      <c r="C54" s="6" t="s">
        <v>487</v>
      </c>
      <c r="D54" s="6" t="s">
        <v>288</v>
      </c>
      <c r="E54" s="6" t="s">
        <v>313</v>
      </c>
      <c r="F54" s="6" t="s">
        <v>490</v>
      </c>
      <c r="G54" s="6" t="s">
        <v>291</v>
      </c>
      <c r="H54" s="6" t="str">
        <f t="shared" si="1"/>
        <v>No</v>
      </c>
      <c r="I54" s="8" t="s">
        <v>50</v>
      </c>
      <c r="J54" s="8"/>
      <c r="K54" s="8"/>
      <c r="L54" s="8"/>
      <c r="M54" s="8"/>
      <c r="N54" s="8"/>
      <c r="O54" s="8" t="s">
        <v>269</v>
      </c>
      <c r="P54" s="9" t="s">
        <v>263</v>
      </c>
      <c r="Q54" s="9" t="s">
        <v>246</v>
      </c>
      <c r="R54" s="10">
        <f>COUNTIF('3. Databases'!$B$2:$B$56,$A54)</f>
        <v>0</v>
      </c>
      <c r="S54" s="10">
        <f>COUNTIFS('3. Databases'!$B$2:$B$56,$A54,'3. Databases'!$V$2:$V$56,"&lt;&gt;TBD",'3. Databases'!$V$2:$V$56,"&lt;&gt;")</f>
        <v>0</v>
      </c>
      <c r="T54" s="11" t="s">
        <v>292</v>
      </c>
      <c r="U54" s="11" t="s">
        <v>124</v>
      </c>
      <c r="V54" s="11" t="s">
        <v>293</v>
      </c>
      <c r="W54" s="11" t="s">
        <v>294</v>
      </c>
    </row>
    <row r="55" spans="1:23" ht="72" customHeight="1" x14ac:dyDescent="0.25">
      <c r="A55" s="6" t="s">
        <v>491</v>
      </c>
      <c r="B55" s="6" t="s">
        <v>492</v>
      </c>
      <c r="C55" s="6" t="s">
        <v>493</v>
      </c>
      <c r="D55" s="6" t="s">
        <v>297</v>
      </c>
      <c r="E55" s="6" t="s">
        <v>289</v>
      </c>
      <c r="F55" s="6" t="s">
        <v>490</v>
      </c>
      <c r="G55" s="6" t="s">
        <v>291</v>
      </c>
      <c r="H55" s="6" t="str">
        <f t="shared" si="1"/>
        <v>No</v>
      </c>
      <c r="I55" s="8" t="s">
        <v>57</v>
      </c>
      <c r="J55" s="8"/>
      <c r="K55" s="8" t="s">
        <v>58</v>
      </c>
      <c r="L55" s="8" t="s">
        <v>203</v>
      </c>
      <c r="M55" s="8" t="s">
        <v>300</v>
      </c>
      <c r="N55" s="8" t="s">
        <v>308</v>
      </c>
      <c r="O55" s="8" t="s">
        <v>269</v>
      </c>
      <c r="P55" s="9" t="s">
        <v>263</v>
      </c>
      <c r="Q55" s="9" t="s">
        <v>246</v>
      </c>
      <c r="R55" s="10">
        <f>COUNTIF('3. Databases'!$B$2:$B$56,$A55)</f>
        <v>0</v>
      </c>
      <c r="S55" s="10">
        <f>COUNTIFS('3. Databases'!$B$2:$B$56,$A55,'3. Databases'!$V$2:$V$56,"&lt;&gt;TBD",'3. Databases'!$V$2:$V$56,"&lt;&gt;")</f>
        <v>0</v>
      </c>
      <c r="T55" s="11" t="s">
        <v>292</v>
      </c>
      <c r="U55" s="11" t="s">
        <v>124</v>
      </c>
      <c r="V55" s="11" t="s">
        <v>293</v>
      </c>
      <c r="W55" s="11" t="s">
        <v>294</v>
      </c>
    </row>
    <row r="56" spans="1:23" ht="48" customHeight="1" x14ac:dyDescent="0.25">
      <c r="A56" s="6" t="s">
        <v>165</v>
      </c>
      <c r="B56" s="6" t="s">
        <v>494</v>
      </c>
      <c r="C56" s="6"/>
      <c r="D56" s="6"/>
      <c r="E56" s="6" t="s">
        <v>313</v>
      </c>
      <c r="F56" s="6" t="s">
        <v>382</v>
      </c>
      <c r="G56" s="6" t="s">
        <v>38</v>
      </c>
      <c r="H56" s="6" t="str">
        <f t="shared" si="1"/>
        <v>Yes</v>
      </c>
      <c r="I56" s="8" t="s">
        <v>36</v>
      </c>
      <c r="J56" s="8"/>
      <c r="K56" s="8"/>
      <c r="L56" s="8"/>
      <c r="M56" s="8" t="s">
        <v>105</v>
      </c>
      <c r="N56" s="8" t="s">
        <v>301</v>
      </c>
      <c r="O56" s="8" t="s">
        <v>383</v>
      </c>
      <c r="P56" s="9" t="s">
        <v>254</v>
      </c>
      <c r="Q56" s="9" t="s">
        <v>47</v>
      </c>
      <c r="R56" s="10">
        <f>COUNTIF('3. Databases'!$B$2:$B$56,$A56)</f>
        <v>0</v>
      </c>
      <c r="S56" s="10">
        <f>COUNTIFS('3. Databases'!$B$2:$B$56,$A56,'3. Databases'!$V$2:$V$56,"&lt;&gt;TBD",'3. Databases'!$V$2:$V$56,"&lt;&gt;")</f>
        <v>0</v>
      </c>
      <c r="T56" s="15" t="s">
        <v>495</v>
      </c>
      <c r="U56" s="14" t="s">
        <v>496</v>
      </c>
      <c r="V56" s="14" t="s">
        <v>497</v>
      </c>
      <c r="W56" s="14" t="s">
        <v>498</v>
      </c>
    </row>
    <row r="57" spans="1:23" s="12" customFormat="1" ht="24" customHeight="1" x14ac:dyDescent="0.25">
      <c r="A57" s="6" t="s">
        <v>499</v>
      </c>
      <c r="B57" s="6" t="s">
        <v>500</v>
      </c>
      <c r="C57" s="6" t="s">
        <v>501</v>
      </c>
      <c r="D57" s="6" t="s">
        <v>297</v>
      </c>
      <c r="E57" s="6" t="s">
        <v>313</v>
      </c>
      <c r="F57" s="6" t="s">
        <v>371</v>
      </c>
      <c r="G57" s="6" t="s">
        <v>299</v>
      </c>
      <c r="H57" s="6" t="str">
        <f t="shared" si="1"/>
        <v>No</v>
      </c>
      <c r="I57" s="8" t="s">
        <v>44</v>
      </c>
      <c r="J57" s="8"/>
      <c r="K57" s="8" t="s">
        <v>48</v>
      </c>
      <c r="L57" s="8" t="s">
        <v>203</v>
      </c>
      <c r="M57" s="8" t="s">
        <v>300</v>
      </c>
      <c r="N57" s="8" t="s">
        <v>308</v>
      </c>
      <c r="O57" s="8" t="s">
        <v>269</v>
      </c>
      <c r="P57" s="9" t="s">
        <v>263</v>
      </c>
      <c r="Q57" s="9" t="s">
        <v>246</v>
      </c>
      <c r="R57" s="10">
        <f>COUNTIF('3. Databases'!$B$2:$B$56,$A57)</f>
        <v>0</v>
      </c>
      <c r="S57" s="10">
        <f>COUNTIFS('3. Databases'!$B$2:$B$56,$A57,'3. Databases'!$V$2:$V$56,"&lt;&gt;TBD",'3. Databases'!$V$2:$V$56,"&lt;&gt;")</f>
        <v>0</v>
      </c>
      <c r="T57" s="11" t="s">
        <v>368</v>
      </c>
      <c r="U57" s="11" t="s">
        <v>124</v>
      </c>
      <c r="V57" s="11" t="s">
        <v>304</v>
      </c>
      <c r="W57" s="11" t="s">
        <v>305</v>
      </c>
    </row>
    <row r="58" spans="1:23" s="12" customFormat="1" ht="24" customHeight="1" x14ac:dyDescent="0.25">
      <c r="A58" s="6" t="s">
        <v>119</v>
      </c>
      <c r="B58" s="6" t="s">
        <v>500</v>
      </c>
      <c r="C58" s="6" t="s">
        <v>501</v>
      </c>
      <c r="D58" s="6" t="s">
        <v>297</v>
      </c>
      <c r="E58" s="6" t="s">
        <v>313</v>
      </c>
      <c r="F58" s="6" t="s">
        <v>336</v>
      </c>
      <c r="G58" s="6" t="s">
        <v>299</v>
      </c>
      <c r="H58" s="6" t="str">
        <f t="shared" si="1"/>
        <v>Yes</v>
      </c>
      <c r="I58" s="8" t="s">
        <v>44</v>
      </c>
      <c r="J58" s="8"/>
      <c r="K58" s="8"/>
      <c r="L58" s="8"/>
      <c r="M58" s="8" t="s">
        <v>300</v>
      </c>
      <c r="N58" s="8" t="s">
        <v>301</v>
      </c>
      <c r="O58" s="8" t="s">
        <v>269</v>
      </c>
      <c r="P58" s="9" t="s">
        <v>263</v>
      </c>
      <c r="Q58" s="9" t="s">
        <v>246</v>
      </c>
      <c r="R58" s="10">
        <f>COUNTIF('3. Databases'!$B$2:$B$56,$A58)</f>
        <v>9</v>
      </c>
      <c r="S58" s="10">
        <f>COUNTIFS('3. Databases'!$B$2:$B$56,$A58,'3. Databases'!$V$2:$V$56,"&lt;&gt;TBD",'3. Databases'!$V$2:$V$56,"&lt;&gt;")</f>
        <v>0</v>
      </c>
      <c r="T58" s="11" t="s">
        <v>368</v>
      </c>
      <c r="U58" s="14" t="s">
        <v>502</v>
      </c>
      <c r="V58" s="14" t="s">
        <v>304</v>
      </c>
      <c r="W58" s="14" t="s">
        <v>305</v>
      </c>
    </row>
    <row r="59" spans="1:23" ht="48" customHeight="1" x14ac:dyDescent="0.25">
      <c r="A59" s="6" t="s">
        <v>166</v>
      </c>
      <c r="B59" s="6" t="s">
        <v>503</v>
      </c>
      <c r="C59" s="6"/>
      <c r="D59" s="6"/>
      <c r="E59" s="6" t="s">
        <v>313</v>
      </c>
      <c r="F59" s="6" t="s">
        <v>382</v>
      </c>
      <c r="G59" s="6" t="s">
        <v>38</v>
      </c>
      <c r="H59" s="6" t="str">
        <f t="shared" si="1"/>
        <v>Yes</v>
      </c>
      <c r="I59" s="8" t="s">
        <v>36</v>
      </c>
      <c r="J59" s="8"/>
      <c r="K59" s="8"/>
      <c r="L59" s="8"/>
      <c r="M59" s="8" t="s">
        <v>105</v>
      </c>
      <c r="N59" s="8" t="s">
        <v>301</v>
      </c>
      <c r="O59" s="8" t="s">
        <v>383</v>
      </c>
      <c r="P59" s="9" t="s">
        <v>254</v>
      </c>
      <c r="Q59" s="9" t="s">
        <v>47</v>
      </c>
      <c r="R59" s="10">
        <f>COUNTIF('3. Databases'!$B$2:$B$56,$A59)</f>
        <v>0</v>
      </c>
      <c r="S59" s="10">
        <f>COUNTIFS('3. Databases'!$B$2:$B$56,$A59,'3. Databases'!$V$2:$V$56,"&lt;&gt;TBD",'3. Databases'!$V$2:$V$56,"&lt;&gt;")</f>
        <v>0</v>
      </c>
      <c r="T59" s="11" t="s">
        <v>495</v>
      </c>
      <c r="U59" s="14" t="s">
        <v>496</v>
      </c>
      <c r="V59" s="14" t="s">
        <v>497</v>
      </c>
      <c r="W59" s="14" t="s">
        <v>498</v>
      </c>
    </row>
  </sheetData>
  <autoFilter ref="A1:W59" xr:uid="{00000000-0001-0000-0200-000000000000}"/>
  <dataValidations count="7">
    <dataValidation type="list" allowBlank="1" showErrorMessage="1" error="Select a value from the controlled list." sqref="I2:I300" xr:uid="{00000000-0002-0000-0200-000000000000}">
      <formula1>EnvironmentList</formula1>
      <formula2>0</formula2>
    </dataValidation>
    <dataValidation type="list" allowBlank="1" showErrorMessage="1" error="Select a value from the controlled list." sqref="J2:J300" xr:uid="{00000000-0002-0000-0200-000001000000}">
      <formula1>SupportStatusList</formula1>
      <formula2>0</formula2>
    </dataValidation>
    <dataValidation type="list" allowBlank="1" showErrorMessage="1" error="Select a value from the controlled list." sqref="K2:K300" xr:uid="{00000000-0002-0000-0200-000002000000}">
      <formula1>CriticalityList</formula1>
      <formula2>0</formula2>
    </dataValidation>
    <dataValidation type="list" allowBlank="1" showErrorMessage="1" error="Select a value from the controlled list." sqref="L2:L300" xr:uid="{00000000-0002-0000-0200-000003000000}">
      <formula1>HADRList</formula1>
      <formula2>0</formula2>
    </dataValidation>
    <dataValidation type="list" allowBlank="1" showErrorMessage="1" error="Select a value from the controlled list." sqref="O2:O300" xr:uid="{00000000-0002-0000-0200-000004000000}">
      <formula1>DiscoverySourceList</formula1>
      <formula2>0</formula2>
    </dataValidation>
    <dataValidation type="list" allowBlank="1" showErrorMessage="1" error="Select a value from the controlled list." sqref="P2:P300" xr:uid="{00000000-0002-0000-0200-000005000000}">
      <formula1>AccessLevelList</formula1>
      <formula2>0</formula2>
    </dataValidation>
    <dataValidation type="list" allowBlank="1" showErrorMessage="1" error="Select a value from the controlled list." sqref="Q2:Q300" xr:uid="{00000000-0002-0000-0200-000006000000}">
      <formula1>TechnicalReviewList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56"/>
  <sheetViews>
    <sheetView showGridLines="0" tabSelected="1" zoomScaleNormal="100" workbookViewId="0">
      <pane ySplit="1" topLeftCell="A2" activePane="bottomLeft" state="frozen"/>
      <selection activeCell="K1" sqref="K1"/>
      <selection pane="bottomLeft" activeCell="A2" sqref="A2"/>
    </sheetView>
  </sheetViews>
  <sheetFormatPr defaultColWidth="8.7109375" defaultRowHeight="15" customHeight="1" x14ac:dyDescent="0.25"/>
  <cols>
    <col min="1" max="1" width="13" customWidth="1"/>
    <col min="2" max="3" width="20" customWidth="1"/>
    <col min="4" max="4" width="28" customWidth="1"/>
    <col min="5" max="5" width="22" customWidth="1"/>
    <col min="6" max="6" width="12" customWidth="1"/>
    <col min="7" max="7" width="14" hidden="1" customWidth="1"/>
    <col min="8" max="8" width="20" style="16" hidden="1" customWidth="1"/>
    <col min="9" max="10" width="34" hidden="1" customWidth="1"/>
    <col min="11" max="11" width="16" customWidth="1"/>
    <col min="12" max="12" width="14" customWidth="1"/>
    <col min="13" max="13" width="28" customWidth="1"/>
    <col min="14" max="14" width="42" customWidth="1"/>
    <col min="15" max="15" width="18" customWidth="1"/>
    <col min="16" max="16" width="38" customWidth="1"/>
    <col min="17" max="17" width="26" customWidth="1"/>
    <col min="18" max="18" width="42" customWidth="1"/>
    <col min="19" max="19" width="28" customWidth="1"/>
    <col min="20" max="20" width="34" customWidth="1"/>
    <col min="21" max="21" width="20" customWidth="1"/>
    <col min="22" max="22" width="22" customWidth="1"/>
    <col min="23" max="23" width="20" customWidth="1"/>
    <col min="24" max="24" width="27" customWidth="1"/>
    <col min="25" max="25" width="55" customWidth="1"/>
    <col min="26" max="26" width="60" customWidth="1"/>
    <col min="27" max="27" width="24" customWidth="1"/>
    <col min="28" max="28" width="30" customWidth="1"/>
    <col min="29" max="29" width="32" customWidth="1"/>
    <col min="30" max="30" width="34" customWidth="1"/>
    <col min="31" max="31" width="26" customWidth="1"/>
    <col min="32" max="32" width="38" customWidth="1"/>
    <col min="33" max="33" width="40" customWidth="1"/>
    <col min="34" max="34" width="27" customWidth="1"/>
  </cols>
  <sheetData>
    <row r="1" spans="1:34" ht="43.5" customHeight="1" x14ac:dyDescent="0.25">
      <c r="A1" s="17" t="s">
        <v>0</v>
      </c>
      <c r="B1" s="17" t="s">
        <v>1</v>
      </c>
      <c r="C1" s="17" t="s">
        <v>313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30</v>
      </c>
      <c r="AG1" s="18" t="s">
        <v>31</v>
      </c>
      <c r="AH1" s="17" t="s">
        <v>32</v>
      </c>
    </row>
    <row r="2" spans="1:34" ht="24" customHeight="1" x14ac:dyDescent="0.25">
      <c r="A2" s="19" t="s">
        <v>99</v>
      </c>
      <c r="B2" s="20" t="s">
        <v>100</v>
      </c>
      <c r="C2" s="20" t="s">
        <v>421</v>
      </c>
      <c r="D2" s="20" t="s">
        <v>101</v>
      </c>
      <c r="E2" s="20" t="s">
        <v>55</v>
      </c>
      <c r="F2" s="20" t="s">
        <v>35</v>
      </c>
      <c r="G2" s="20">
        <v>1004.69</v>
      </c>
      <c r="H2" s="21" t="s">
        <v>102</v>
      </c>
      <c r="I2" s="22" t="s">
        <v>103</v>
      </c>
      <c r="J2" s="20" t="s">
        <v>104</v>
      </c>
      <c r="K2" s="19" t="s">
        <v>50</v>
      </c>
      <c r="L2" s="19"/>
      <c r="M2" s="19" t="s">
        <v>105</v>
      </c>
      <c r="N2" s="19" t="s">
        <v>51</v>
      </c>
      <c r="O2" s="19" t="s">
        <v>38</v>
      </c>
      <c r="P2" s="19" t="s">
        <v>38</v>
      </c>
      <c r="Q2" s="19" t="s">
        <v>38</v>
      </c>
      <c r="R2" s="19" t="s">
        <v>38</v>
      </c>
      <c r="S2" s="19" t="s">
        <v>38</v>
      </c>
      <c r="T2" s="19" t="s">
        <v>38</v>
      </c>
      <c r="U2" s="19" t="s">
        <v>39</v>
      </c>
      <c r="V2" s="19" t="s">
        <v>40</v>
      </c>
      <c r="W2" s="19" t="s">
        <v>37</v>
      </c>
      <c r="X2" s="19" t="s">
        <v>41</v>
      </c>
      <c r="Y2" s="19"/>
      <c r="Z2" s="19"/>
      <c r="AA2" s="23" t="s">
        <v>42</v>
      </c>
      <c r="AB2" s="23" t="s">
        <v>42</v>
      </c>
      <c r="AC2" s="23" t="s">
        <v>42</v>
      </c>
      <c r="AD2" s="23" t="s">
        <v>42</v>
      </c>
      <c r="AE2" s="23" t="s">
        <v>42</v>
      </c>
      <c r="AF2" s="23" t="s">
        <v>42</v>
      </c>
      <c r="AG2" s="23" t="s">
        <v>42</v>
      </c>
    </row>
    <row r="3" spans="1:34" ht="24" customHeight="1" x14ac:dyDescent="0.25">
      <c r="A3" s="19" t="s">
        <v>106</v>
      </c>
      <c r="B3" s="20" t="s">
        <v>100</v>
      </c>
      <c r="C3" s="20" t="s">
        <v>421</v>
      </c>
      <c r="D3" s="20" t="s">
        <v>107</v>
      </c>
      <c r="E3" s="20" t="s">
        <v>55</v>
      </c>
      <c r="F3" s="20" t="s">
        <v>35</v>
      </c>
      <c r="G3" s="20">
        <v>77456.31</v>
      </c>
      <c r="H3" s="21" t="s">
        <v>102</v>
      </c>
      <c r="I3" s="22" t="s">
        <v>108</v>
      </c>
      <c r="J3" s="20" t="s">
        <v>109</v>
      </c>
      <c r="K3" s="19" t="s">
        <v>50</v>
      </c>
      <c r="L3" s="19"/>
      <c r="M3" s="19" t="s">
        <v>105</v>
      </c>
      <c r="N3" s="19" t="s">
        <v>51</v>
      </c>
      <c r="O3" s="19" t="s">
        <v>38</v>
      </c>
      <c r="P3" s="19" t="s">
        <v>38</v>
      </c>
      <c r="Q3" s="19" t="s">
        <v>38</v>
      </c>
      <c r="R3" s="19" t="s">
        <v>38</v>
      </c>
      <c r="S3" s="19" t="s">
        <v>38</v>
      </c>
      <c r="T3" s="19" t="s">
        <v>38</v>
      </c>
      <c r="U3" s="19" t="s">
        <v>39</v>
      </c>
      <c r="V3" s="19" t="s">
        <v>40</v>
      </c>
      <c r="W3" s="19" t="s">
        <v>37</v>
      </c>
      <c r="X3" s="19" t="s">
        <v>41</v>
      </c>
      <c r="Y3" s="19"/>
      <c r="Z3" s="19"/>
      <c r="AA3" s="23" t="s">
        <v>42</v>
      </c>
      <c r="AB3" s="23" t="s">
        <v>42</v>
      </c>
      <c r="AC3" s="23" t="s">
        <v>42</v>
      </c>
      <c r="AD3" s="23" t="s">
        <v>42</v>
      </c>
      <c r="AE3" s="23" t="s">
        <v>42</v>
      </c>
      <c r="AF3" s="23" t="s">
        <v>42</v>
      </c>
      <c r="AG3" s="23" t="s">
        <v>42</v>
      </c>
    </row>
    <row r="4" spans="1:34" ht="72" customHeight="1" x14ac:dyDescent="0.25">
      <c r="A4" s="19" t="s">
        <v>111</v>
      </c>
      <c r="B4" s="20" t="s">
        <v>100</v>
      </c>
      <c r="C4" s="20" t="s">
        <v>421</v>
      </c>
      <c r="D4" s="20" t="s">
        <v>112</v>
      </c>
      <c r="E4" s="20" t="s">
        <v>55</v>
      </c>
      <c r="F4" s="20" t="s">
        <v>35</v>
      </c>
      <c r="G4" s="20">
        <v>176</v>
      </c>
      <c r="H4" s="21" t="s">
        <v>102</v>
      </c>
      <c r="I4" s="22" t="s">
        <v>113</v>
      </c>
      <c r="J4" s="20" t="s">
        <v>114</v>
      </c>
      <c r="K4" s="19" t="s">
        <v>50</v>
      </c>
      <c r="L4" s="19"/>
      <c r="M4" s="19" t="s">
        <v>105</v>
      </c>
      <c r="N4" s="19" t="s">
        <v>51</v>
      </c>
      <c r="O4" s="19" t="s">
        <v>38</v>
      </c>
      <c r="P4" s="19" t="s">
        <v>38</v>
      </c>
      <c r="Q4" s="19" t="s">
        <v>38</v>
      </c>
      <c r="R4" s="19" t="s">
        <v>38</v>
      </c>
      <c r="S4" s="19" t="s">
        <v>38</v>
      </c>
      <c r="T4" s="19" t="s">
        <v>38</v>
      </c>
      <c r="U4" s="19" t="s">
        <v>39</v>
      </c>
      <c r="V4" s="19" t="s">
        <v>40</v>
      </c>
      <c r="W4" s="19" t="s">
        <v>37</v>
      </c>
      <c r="X4" s="19" t="s">
        <v>41</v>
      </c>
      <c r="Y4" s="19"/>
      <c r="Z4" s="19"/>
      <c r="AA4" s="23" t="s">
        <v>42</v>
      </c>
      <c r="AB4" s="23" t="s">
        <v>42</v>
      </c>
      <c r="AC4" s="23" t="s">
        <v>42</v>
      </c>
      <c r="AD4" s="23" t="s">
        <v>42</v>
      </c>
      <c r="AE4" s="23" t="s">
        <v>42</v>
      </c>
      <c r="AF4" s="23" t="s">
        <v>42</v>
      </c>
      <c r="AG4" s="23" t="s">
        <v>42</v>
      </c>
    </row>
    <row r="5" spans="1:34" ht="24" customHeight="1" x14ac:dyDescent="0.25">
      <c r="A5" s="19" t="s">
        <v>118</v>
      </c>
      <c r="B5" s="20" t="s">
        <v>119</v>
      </c>
      <c r="C5" s="20" t="s">
        <v>500</v>
      </c>
      <c r="D5" s="20" t="s">
        <v>120</v>
      </c>
      <c r="E5" s="20" t="s">
        <v>55</v>
      </c>
      <c r="F5" s="20" t="s">
        <v>35</v>
      </c>
      <c r="G5" s="20">
        <v>528</v>
      </c>
      <c r="H5" s="21" t="s">
        <v>121</v>
      </c>
      <c r="I5" s="22" t="s">
        <v>122</v>
      </c>
      <c r="J5" s="20" t="s">
        <v>123</v>
      </c>
      <c r="K5" s="19" t="s">
        <v>50</v>
      </c>
      <c r="L5" s="19"/>
      <c r="M5" s="19" t="s">
        <v>105</v>
      </c>
      <c r="N5" s="19" t="s">
        <v>51</v>
      </c>
      <c r="O5" s="19" t="s">
        <v>38</v>
      </c>
      <c r="P5" s="19" t="s">
        <v>38</v>
      </c>
      <c r="Q5" s="19" t="s">
        <v>38</v>
      </c>
      <c r="R5" s="19" t="s">
        <v>38</v>
      </c>
      <c r="S5" s="19" t="s">
        <v>38</v>
      </c>
      <c r="T5" s="19" t="s">
        <v>38</v>
      </c>
      <c r="U5" s="19" t="s">
        <v>39</v>
      </c>
      <c r="V5" s="19" t="s">
        <v>40</v>
      </c>
      <c r="W5" s="19" t="s">
        <v>37</v>
      </c>
      <c r="X5" s="19" t="s">
        <v>41</v>
      </c>
      <c r="Y5" s="19"/>
      <c r="Z5" s="19"/>
      <c r="AA5" s="23" t="s">
        <v>42</v>
      </c>
      <c r="AB5" s="23" t="s">
        <v>42</v>
      </c>
      <c r="AC5" s="23" t="s">
        <v>42</v>
      </c>
      <c r="AD5" s="23" t="s">
        <v>42</v>
      </c>
      <c r="AE5" s="23" t="s">
        <v>42</v>
      </c>
      <c r="AF5" s="23" t="s">
        <v>42</v>
      </c>
      <c r="AG5" s="23" t="s">
        <v>42</v>
      </c>
    </row>
    <row r="6" spans="1:34" ht="24" customHeight="1" x14ac:dyDescent="0.25">
      <c r="A6" s="19" t="s">
        <v>125</v>
      </c>
      <c r="B6" s="20" t="s">
        <v>119</v>
      </c>
      <c r="C6" s="20" t="s">
        <v>500</v>
      </c>
      <c r="D6" s="20" t="s">
        <v>126</v>
      </c>
      <c r="E6" s="20" t="s">
        <v>55</v>
      </c>
      <c r="F6" s="20" t="s">
        <v>35</v>
      </c>
      <c r="G6" s="20">
        <v>40220.81</v>
      </c>
      <c r="H6" s="21" t="s">
        <v>56</v>
      </c>
      <c r="I6" s="22" t="s">
        <v>127</v>
      </c>
      <c r="J6" s="20" t="s">
        <v>128</v>
      </c>
      <c r="K6" s="19" t="s">
        <v>44</v>
      </c>
      <c r="L6" s="19" t="s">
        <v>50</v>
      </c>
      <c r="M6" s="19" t="s">
        <v>105</v>
      </c>
      <c r="N6" s="19" t="s">
        <v>46</v>
      </c>
      <c r="O6" s="19" t="s">
        <v>38</v>
      </c>
      <c r="P6" s="19" t="s">
        <v>38</v>
      </c>
      <c r="Q6" s="19" t="s">
        <v>38</v>
      </c>
      <c r="R6" s="19" t="s">
        <v>38</v>
      </c>
      <c r="S6" s="19" t="s">
        <v>38</v>
      </c>
      <c r="T6" s="19" t="s">
        <v>38</v>
      </c>
      <c r="U6" s="19" t="s">
        <v>39</v>
      </c>
      <c r="V6" s="19" t="s">
        <v>40</v>
      </c>
      <c r="W6" s="19" t="s">
        <v>37</v>
      </c>
      <c r="X6" s="19" t="s">
        <v>41</v>
      </c>
      <c r="Y6" s="19"/>
      <c r="Z6" s="19"/>
      <c r="AA6" s="23" t="s">
        <v>42</v>
      </c>
      <c r="AB6" s="23" t="s">
        <v>42</v>
      </c>
      <c r="AC6" s="23" t="s">
        <v>42</v>
      </c>
      <c r="AD6" s="23" t="s">
        <v>42</v>
      </c>
      <c r="AE6" s="23" t="s">
        <v>42</v>
      </c>
      <c r="AF6" s="23" t="s">
        <v>42</v>
      </c>
      <c r="AG6" s="23" t="s">
        <v>42</v>
      </c>
    </row>
    <row r="7" spans="1:34" ht="72" customHeight="1" x14ac:dyDescent="0.25">
      <c r="A7" s="19" t="s">
        <v>129</v>
      </c>
      <c r="B7" s="20" t="s">
        <v>119</v>
      </c>
      <c r="C7" s="20" t="s">
        <v>500</v>
      </c>
      <c r="D7" s="20" t="s">
        <v>54</v>
      </c>
      <c r="E7" s="20" t="s">
        <v>55</v>
      </c>
      <c r="F7" s="20" t="s">
        <v>35</v>
      </c>
      <c r="G7" s="20">
        <v>356816</v>
      </c>
      <c r="H7" s="21" t="s">
        <v>121</v>
      </c>
      <c r="I7" s="22" t="s">
        <v>130</v>
      </c>
      <c r="J7" s="20" t="s">
        <v>131</v>
      </c>
      <c r="K7" s="19" t="s">
        <v>50</v>
      </c>
      <c r="L7" s="19"/>
      <c r="M7" s="19" t="s">
        <v>105</v>
      </c>
      <c r="N7" s="19" t="s">
        <v>51</v>
      </c>
      <c r="O7" s="19" t="s">
        <v>38</v>
      </c>
      <c r="P7" s="19" t="s">
        <v>38</v>
      </c>
      <c r="Q7" s="19" t="s">
        <v>38</v>
      </c>
      <c r="R7" s="19" t="s">
        <v>38</v>
      </c>
      <c r="S7" s="19" t="s">
        <v>38</v>
      </c>
      <c r="T7" s="19" t="s">
        <v>38</v>
      </c>
      <c r="U7" s="19" t="s">
        <v>39</v>
      </c>
      <c r="V7" s="19" t="s">
        <v>40</v>
      </c>
      <c r="W7" s="19" t="s">
        <v>37</v>
      </c>
      <c r="X7" s="19" t="s">
        <v>41</v>
      </c>
      <c r="Y7" s="19"/>
      <c r="Z7" s="19"/>
      <c r="AA7" s="23" t="s">
        <v>42</v>
      </c>
      <c r="AB7" s="23" t="s">
        <v>42</v>
      </c>
      <c r="AC7" s="23" t="s">
        <v>42</v>
      </c>
      <c r="AD7" s="23" t="s">
        <v>42</v>
      </c>
      <c r="AE7" s="23" t="s">
        <v>42</v>
      </c>
      <c r="AF7" s="23" t="s">
        <v>42</v>
      </c>
      <c r="AG7" s="23" t="s">
        <v>42</v>
      </c>
    </row>
    <row r="8" spans="1:34" ht="24" customHeight="1" x14ac:dyDescent="0.25">
      <c r="A8" s="19" t="s">
        <v>132</v>
      </c>
      <c r="B8" s="20" t="s">
        <v>119</v>
      </c>
      <c r="C8" s="20" t="s">
        <v>500</v>
      </c>
      <c r="D8" s="20" t="s">
        <v>133</v>
      </c>
      <c r="E8" s="20" t="s">
        <v>55</v>
      </c>
      <c r="F8" s="20" t="s">
        <v>35</v>
      </c>
      <c r="G8" s="20">
        <v>5968</v>
      </c>
      <c r="H8" s="21" t="s">
        <v>121</v>
      </c>
      <c r="I8" s="22" t="s">
        <v>134</v>
      </c>
      <c r="J8" s="20" t="s">
        <v>135</v>
      </c>
      <c r="K8" s="19" t="s">
        <v>50</v>
      </c>
      <c r="L8" s="19"/>
      <c r="M8" s="19" t="s">
        <v>105</v>
      </c>
      <c r="N8" s="19" t="s">
        <v>51</v>
      </c>
      <c r="O8" s="19" t="s">
        <v>38</v>
      </c>
      <c r="P8" s="19" t="s">
        <v>38</v>
      </c>
      <c r="Q8" s="19" t="s">
        <v>38</v>
      </c>
      <c r="R8" s="19" t="s">
        <v>38</v>
      </c>
      <c r="S8" s="19" t="s">
        <v>38</v>
      </c>
      <c r="T8" s="19" t="s">
        <v>38</v>
      </c>
      <c r="U8" s="19" t="s">
        <v>39</v>
      </c>
      <c r="V8" s="19" t="s">
        <v>40</v>
      </c>
      <c r="W8" s="19" t="s">
        <v>37</v>
      </c>
      <c r="X8" s="19" t="s">
        <v>41</v>
      </c>
      <c r="Y8" s="19"/>
      <c r="Z8" s="19"/>
      <c r="AA8" s="23" t="s">
        <v>42</v>
      </c>
      <c r="AB8" s="23" t="s">
        <v>42</v>
      </c>
      <c r="AC8" s="23" t="s">
        <v>42</v>
      </c>
      <c r="AD8" s="23" t="s">
        <v>42</v>
      </c>
      <c r="AE8" s="23" t="s">
        <v>42</v>
      </c>
      <c r="AF8" s="23" t="s">
        <v>42</v>
      </c>
      <c r="AG8" s="23" t="s">
        <v>42</v>
      </c>
    </row>
    <row r="9" spans="1:34" ht="24" customHeight="1" x14ac:dyDescent="0.25">
      <c r="A9" s="19" t="s">
        <v>136</v>
      </c>
      <c r="B9" s="20" t="s">
        <v>119</v>
      </c>
      <c r="C9" s="20" t="s">
        <v>500</v>
      </c>
      <c r="D9" s="20" t="s">
        <v>61</v>
      </c>
      <c r="E9" s="20" t="s">
        <v>55</v>
      </c>
      <c r="F9" s="20" t="s">
        <v>35</v>
      </c>
      <c r="G9" s="20">
        <v>25296</v>
      </c>
      <c r="H9" s="21" t="s">
        <v>121</v>
      </c>
      <c r="I9" s="22" t="s">
        <v>137</v>
      </c>
      <c r="J9" s="20" t="s">
        <v>138</v>
      </c>
      <c r="K9" s="19" t="s">
        <v>50</v>
      </c>
      <c r="L9" s="19"/>
      <c r="M9" s="19" t="s">
        <v>105</v>
      </c>
      <c r="N9" s="19" t="s">
        <v>51</v>
      </c>
      <c r="O9" s="19" t="s">
        <v>38</v>
      </c>
      <c r="P9" s="19" t="s">
        <v>38</v>
      </c>
      <c r="Q9" s="19" t="s">
        <v>38</v>
      </c>
      <c r="R9" s="19" t="s">
        <v>38</v>
      </c>
      <c r="S9" s="19" t="s">
        <v>38</v>
      </c>
      <c r="T9" s="19" t="s">
        <v>38</v>
      </c>
      <c r="U9" s="19" t="s">
        <v>39</v>
      </c>
      <c r="V9" s="19" t="s">
        <v>40</v>
      </c>
      <c r="W9" s="19" t="s">
        <v>37</v>
      </c>
      <c r="X9" s="19" t="s">
        <v>52</v>
      </c>
      <c r="Y9" s="19"/>
      <c r="Z9" s="19"/>
      <c r="AA9" s="23" t="s">
        <v>42</v>
      </c>
      <c r="AB9" s="23" t="s">
        <v>42</v>
      </c>
      <c r="AC9" s="23" t="s">
        <v>42</v>
      </c>
      <c r="AD9" s="23" t="s">
        <v>42</v>
      </c>
      <c r="AE9" s="23" t="s">
        <v>42</v>
      </c>
      <c r="AF9" s="23" t="s">
        <v>42</v>
      </c>
      <c r="AG9" s="23" t="s">
        <v>42</v>
      </c>
    </row>
    <row r="10" spans="1:34" ht="72" customHeight="1" x14ac:dyDescent="0.25">
      <c r="A10" s="19" t="s">
        <v>139</v>
      </c>
      <c r="B10" s="20" t="s">
        <v>119</v>
      </c>
      <c r="C10" s="20" t="s">
        <v>500</v>
      </c>
      <c r="D10" s="20" t="s">
        <v>140</v>
      </c>
      <c r="E10" s="20" t="s">
        <v>55</v>
      </c>
      <c r="F10" s="20" t="s">
        <v>35</v>
      </c>
      <c r="G10" s="20">
        <v>4560</v>
      </c>
      <c r="H10" s="21" t="s">
        <v>121</v>
      </c>
      <c r="I10" s="22" t="s">
        <v>141</v>
      </c>
      <c r="J10" s="20" t="s">
        <v>142</v>
      </c>
      <c r="K10" s="19" t="s">
        <v>50</v>
      </c>
      <c r="L10" s="19"/>
      <c r="M10" s="19" t="s">
        <v>105</v>
      </c>
      <c r="N10" s="19" t="s">
        <v>51</v>
      </c>
      <c r="O10" s="19" t="s">
        <v>38</v>
      </c>
      <c r="P10" s="19" t="s">
        <v>38</v>
      </c>
      <c r="Q10" s="19" t="s">
        <v>38</v>
      </c>
      <c r="R10" s="19" t="s">
        <v>38</v>
      </c>
      <c r="S10" s="19" t="s">
        <v>38</v>
      </c>
      <c r="T10" s="19" t="s">
        <v>38</v>
      </c>
      <c r="U10" s="19" t="s">
        <v>39</v>
      </c>
      <c r="V10" s="19" t="s">
        <v>40</v>
      </c>
      <c r="W10" s="19" t="s">
        <v>37</v>
      </c>
      <c r="X10" s="19" t="s">
        <v>41</v>
      </c>
      <c r="Y10" s="19"/>
      <c r="Z10" s="19"/>
      <c r="AA10" s="23" t="s">
        <v>42</v>
      </c>
      <c r="AB10" s="23" t="s">
        <v>42</v>
      </c>
      <c r="AC10" s="23" t="s">
        <v>42</v>
      </c>
      <c r="AD10" s="23" t="s">
        <v>42</v>
      </c>
      <c r="AE10" s="23" t="s">
        <v>42</v>
      </c>
      <c r="AF10" s="23" t="s">
        <v>42</v>
      </c>
      <c r="AG10" s="23" t="s">
        <v>42</v>
      </c>
    </row>
    <row r="11" spans="1:34" ht="24" customHeight="1" x14ac:dyDescent="0.25">
      <c r="A11" s="19" t="s">
        <v>143</v>
      </c>
      <c r="B11" s="20" t="s">
        <v>119</v>
      </c>
      <c r="C11" s="20" t="s">
        <v>500</v>
      </c>
      <c r="D11" s="20" t="s">
        <v>144</v>
      </c>
      <c r="E11" s="20" t="s">
        <v>55</v>
      </c>
      <c r="F11" s="20" t="s">
        <v>35</v>
      </c>
      <c r="G11" s="20">
        <v>342.5</v>
      </c>
      <c r="H11" s="21" t="s">
        <v>121</v>
      </c>
      <c r="I11" s="22" t="s">
        <v>145</v>
      </c>
      <c r="J11" s="20" t="s">
        <v>146</v>
      </c>
      <c r="K11" s="19" t="s">
        <v>44</v>
      </c>
      <c r="L11" s="19" t="s">
        <v>37</v>
      </c>
      <c r="M11" s="19" t="s">
        <v>105</v>
      </c>
      <c r="N11" s="19" t="s">
        <v>46</v>
      </c>
      <c r="O11" s="19" t="s">
        <v>38</v>
      </c>
      <c r="P11" s="19" t="s">
        <v>38</v>
      </c>
      <c r="Q11" s="19" t="s">
        <v>38</v>
      </c>
      <c r="R11" s="19" t="s">
        <v>38</v>
      </c>
      <c r="S11" s="19" t="s">
        <v>38</v>
      </c>
      <c r="T11" s="19" t="s">
        <v>38</v>
      </c>
      <c r="U11" s="19" t="s">
        <v>39</v>
      </c>
      <c r="V11" s="19" t="s">
        <v>40</v>
      </c>
      <c r="W11" s="19" t="s">
        <v>37</v>
      </c>
      <c r="X11" s="19" t="s">
        <v>41</v>
      </c>
      <c r="Y11" s="19"/>
      <c r="Z11" s="19"/>
      <c r="AA11" s="23" t="s">
        <v>42</v>
      </c>
      <c r="AB11" s="23" t="s">
        <v>42</v>
      </c>
      <c r="AC11" s="23" t="s">
        <v>42</v>
      </c>
      <c r="AD11" s="23" t="s">
        <v>42</v>
      </c>
      <c r="AE11" s="23" t="s">
        <v>42</v>
      </c>
      <c r="AF11" s="23" t="s">
        <v>42</v>
      </c>
      <c r="AG11" s="23" t="s">
        <v>42</v>
      </c>
    </row>
    <row r="12" spans="1:34" ht="24" customHeight="1" x14ac:dyDescent="0.25">
      <c r="A12" s="19" t="s">
        <v>147</v>
      </c>
      <c r="B12" s="20" t="s">
        <v>119</v>
      </c>
      <c r="C12" s="20" t="s">
        <v>500</v>
      </c>
      <c r="D12" s="20" t="s">
        <v>116</v>
      </c>
      <c r="E12" s="20" t="s">
        <v>55</v>
      </c>
      <c r="F12" s="20" t="s">
        <v>35</v>
      </c>
      <c r="G12" s="20">
        <v>528</v>
      </c>
      <c r="H12" s="21" t="s">
        <v>56</v>
      </c>
      <c r="I12" s="22" t="s">
        <v>148</v>
      </c>
      <c r="J12" s="20" t="s">
        <v>149</v>
      </c>
      <c r="K12" s="19" t="s">
        <v>50</v>
      </c>
      <c r="L12" s="19"/>
      <c r="M12" s="19" t="s">
        <v>105</v>
      </c>
      <c r="N12" s="19" t="s">
        <v>51</v>
      </c>
      <c r="O12" s="19" t="s">
        <v>38</v>
      </c>
      <c r="P12" s="19" t="s">
        <v>38</v>
      </c>
      <c r="Q12" s="19" t="s">
        <v>38</v>
      </c>
      <c r="R12" s="19" t="s">
        <v>38</v>
      </c>
      <c r="S12" s="19" t="s">
        <v>38</v>
      </c>
      <c r="T12" s="19" t="s">
        <v>38</v>
      </c>
      <c r="U12" s="19" t="s">
        <v>39</v>
      </c>
      <c r="V12" s="19" t="s">
        <v>40</v>
      </c>
      <c r="W12" s="19" t="s">
        <v>37</v>
      </c>
      <c r="X12" s="19" t="s">
        <v>41</v>
      </c>
      <c r="Y12" s="19"/>
      <c r="Z12" s="19"/>
      <c r="AA12" s="23" t="s">
        <v>42</v>
      </c>
      <c r="AB12" s="23" t="s">
        <v>42</v>
      </c>
      <c r="AC12" s="23" t="s">
        <v>42</v>
      </c>
      <c r="AD12" s="23" t="s">
        <v>42</v>
      </c>
      <c r="AE12" s="23" t="s">
        <v>42</v>
      </c>
      <c r="AF12" s="23" t="s">
        <v>42</v>
      </c>
      <c r="AG12" s="23" t="s">
        <v>42</v>
      </c>
    </row>
    <row r="13" spans="1:34" ht="24" customHeight="1" x14ac:dyDescent="0.25">
      <c r="A13" s="19" t="s">
        <v>150</v>
      </c>
      <c r="B13" s="20" t="s">
        <v>119</v>
      </c>
      <c r="C13" s="20" t="s">
        <v>500</v>
      </c>
      <c r="D13" s="20" t="s">
        <v>117</v>
      </c>
      <c r="E13" s="20" t="s">
        <v>55</v>
      </c>
      <c r="F13" s="20" t="s">
        <v>35</v>
      </c>
      <c r="G13" s="20">
        <v>272</v>
      </c>
      <c r="H13" s="21" t="s">
        <v>56</v>
      </c>
      <c r="I13" s="22" t="s">
        <v>151</v>
      </c>
      <c r="J13" s="20" t="s">
        <v>152</v>
      </c>
      <c r="K13" s="19" t="s">
        <v>50</v>
      </c>
      <c r="L13" s="19"/>
      <c r="M13" s="19" t="s">
        <v>105</v>
      </c>
      <c r="N13" s="19" t="s">
        <v>51</v>
      </c>
      <c r="O13" s="19" t="s">
        <v>38</v>
      </c>
      <c r="P13" s="19" t="s">
        <v>38</v>
      </c>
      <c r="Q13" s="19" t="s">
        <v>38</v>
      </c>
      <c r="R13" s="19" t="s">
        <v>38</v>
      </c>
      <c r="S13" s="19" t="s">
        <v>38</v>
      </c>
      <c r="T13" s="19" t="s">
        <v>38</v>
      </c>
      <c r="U13" s="19" t="s">
        <v>39</v>
      </c>
      <c r="V13" s="19" t="s">
        <v>40</v>
      </c>
      <c r="W13" s="19" t="s">
        <v>37</v>
      </c>
      <c r="X13" s="19" t="s">
        <v>41</v>
      </c>
      <c r="Y13" s="19"/>
      <c r="Z13" s="19"/>
      <c r="AA13" s="23" t="s">
        <v>42</v>
      </c>
      <c r="AB13" s="23" t="s">
        <v>42</v>
      </c>
      <c r="AC13" s="23" t="s">
        <v>42</v>
      </c>
      <c r="AD13" s="23" t="s">
        <v>42</v>
      </c>
      <c r="AE13" s="23" t="s">
        <v>42</v>
      </c>
      <c r="AF13" s="23" t="s">
        <v>42</v>
      </c>
      <c r="AG13" s="23" t="s">
        <v>42</v>
      </c>
    </row>
    <row r="14" spans="1:34" ht="72" customHeight="1" x14ac:dyDescent="0.25">
      <c r="A14" s="19" t="s">
        <v>155</v>
      </c>
      <c r="B14" s="20" t="s">
        <v>156</v>
      </c>
      <c r="C14" s="20" t="s">
        <v>377</v>
      </c>
      <c r="D14" s="20" t="s">
        <v>157</v>
      </c>
      <c r="E14" s="20" t="s">
        <v>55</v>
      </c>
      <c r="F14" s="20" t="s">
        <v>35</v>
      </c>
      <c r="G14" s="20">
        <v>1408</v>
      </c>
      <c r="H14" s="21" t="s">
        <v>158</v>
      </c>
      <c r="I14" s="22" t="s">
        <v>159</v>
      </c>
      <c r="J14" s="20" t="s">
        <v>160</v>
      </c>
      <c r="K14" s="19" t="s">
        <v>50</v>
      </c>
      <c r="L14" s="19"/>
      <c r="M14" s="19" t="s">
        <v>105</v>
      </c>
      <c r="N14" s="19" t="s">
        <v>51</v>
      </c>
      <c r="O14" s="19" t="s">
        <v>38</v>
      </c>
      <c r="P14" s="19" t="s">
        <v>38</v>
      </c>
      <c r="Q14" s="19" t="s">
        <v>38</v>
      </c>
      <c r="R14" s="19" t="s">
        <v>38</v>
      </c>
      <c r="S14" s="19" t="s">
        <v>38</v>
      </c>
      <c r="T14" s="19" t="s">
        <v>38</v>
      </c>
      <c r="U14" s="19" t="s">
        <v>39</v>
      </c>
      <c r="V14" s="19" t="s">
        <v>40</v>
      </c>
      <c r="W14" s="19" t="s">
        <v>37</v>
      </c>
      <c r="X14" s="19" t="s">
        <v>41</v>
      </c>
      <c r="Y14" s="19"/>
      <c r="Z14" s="19"/>
      <c r="AA14" s="23" t="s">
        <v>42</v>
      </c>
      <c r="AB14" s="23" t="s">
        <v>42</v>
      </c>
      <c r="AC14" s="23" t="s">
        <v>42</v>
      </c>
      <c r="AD14" s="23" t="s">
        <v>42</v>
      </c>
      <c r="AE14" s="23" t="s">
        <v>42</v>
      </c>
      <c r="AF14" s="23" t="s">
        <v>42</v>
      </c>
      <c r="AG14" s="23" t="s">
        <v>42</v>
      </c>
    </row>
    <row r="15" spans="1:34" ht="72" customHeight="1" x14ac:dyDescent="0.25">
      <c r="A15" s="19" t="s">
        <v>169</v>
      </c>
      <c r="B15" s="20" t="s">
        <v>167</v>
      </c>
      <c r="C15" s="20" t="s">
        <v>410</v>
      </c>
      <c r="D15" s="20" t="s">
        <v>170</v>
      </c>
      <c r="E15" s="20" t="s">
        <v>34</v>
      </c>
      <c r="F15" s="20" t="s">
        <v>35</v>
      </c>
      <c r="G15" s="20" t="s">
        <v>163</v>
      </c>
      <c r="H15" s="21">
        <v>46232.168321759258</v>
      </c>
      <c r="I15" s="22" t="s">
        <v>163</v>
      </c>
      <c r="J15" s="20" t="s">
        <v>163</v>
      </c>
      <c r="K15" s="19" t="s">
        <v>50</v>
      </c>
      <c r="L15" s="19"/>
      <c r="M15" s="19" t="s">
        <v>105</v>
      </c>
      <c r="N15" s="19" t="s">
        <v>51</v>
      </c>
      <c r="O15" s="19" t="s">
        <v>38</v>
      </c>
      <c r="P15" s="19" t="s">
        <v>38</v>
      </c>
      <c r="Q15" s="19" t="s">
        <v>38</v>
      </c>
      <c r="R15" s="19" t="s">
        <v>38</v>
      </c>
      <c r="S15" s="19" t="s">
        <v>38</v>
      </c>
      <c r="T15" s="19" t="s">
        <v>38</v>
      </c>
      <c r="U15" s="19" t="s">
        <v>39</v>
      </c>
      <c r="V15" s="19" t="s">
        <v>40</v>
      </c>
      <c r="W15" s="19" t="s">
        <v>37</v>
      </c>
      <c r="X15" s="19" t="s">
        <v>38</v>
      </c>
      <c r="Y15" s="19"/>
      <c r="Z15" s="19"/>
      <c r="AA15" s="23" t="s">
        <v>42</v>
      </c>
      <c r="AB15" s="23" t="s">
        <v>42</v>
      </c>
      <c r="AC15" s="23" t="s">
        <v>42</v>
      </c>
      <c r="AD15" s="23" t="s">
        <v>42</v>
      </c>
      <c r="AE15" s="23" t="s">
        <v>42</v>
      </c>
      <c r="AF15" s="23" t="s">
        <v>42</v>
      </c>
      <c r="AG15" s="23" t="s">
        <v>42</v>
      </c>
    </row>
    <row r="16" spans="1:34" ht="72" customHeight="1" x14ac:dyDescent="0.25">
      <c r="A16" s="19" t="s">
        <v>172</v>
      </c>
      <c r="B16" s="20" t="s">
        <v>171</v>
      </c>
      <c r="C16" s="20" t="s">
        <v>417</v>
      </c>
      <c r="D16" s="20" t="s">
        <v>168</v>
      </c>
      <c r="E16" s="20" t="s">
        <v>34</v>
      </c>
      <c r="F16" s="20" t="s">
        <v>35</v>
      </c>
      <c r="G16" s="20" t="s">
        <v>163</v>
      </c>
      <c r="H16" s="21">
        <v>46097.163321759261</v>
      </c>
      <c r="I16" s="22" t="s">
        <v>163</v>
      </c>
      <c r="J16" s="20" t="s">
        <v>163</v>
      </c>
      <c r="K16" s="19" t="s">
        <v>50</v>
      </c>
      <c r="L16" s="19"/>
      <c r="M16" s="19" t="s">
        <v>105</v>
      </c>
      <c r="N16" s="19" t="s">
        <v>51</v>
      </c>
      <c r="O16" s="19" t="s">
        <v>38</v>
      </c>
      <c r="P16" s="19" t="s">
        <v>38</v>
      </c>
      <c r="Q16" s="19" t="s">
        <v>38</v>
      </c>
      <c r="R16" s="19" t="s">
        <v>38</v>
      </c>
      <c r="S16" s="19" t="s">
        <v>38</v>
      </c>
      <c r="T16" s="19" t="s">
        <v>38</v>
      </c>
      <c r="U16" s="19" t="s">
        <v>39</v>
      </c>
      <c r="V16" s="19" t="s">
        <v>40</v>
      </c>
      <c r="W16" s="19" t="s">
        <v>37</v>
      </c>
      <c r="X16" s="19" t="s">
        <v>38</v>
      </c>
      <c r="Y16" s="19"/>
      <c r="Z16" s="19"/>
      <c r="AA16" s="23" t="s">
        <v>42</v>
      </c>
      <c r="AB16" s="23" t="s">
        <v>42</v>
      </c>
      <c r="AC16" s="23" t="s">
        <v>42</v>
      </c>
      <c r="AD16" s="23" t="s">
        <v>42</v>
      </c>
      <c r="AE16" s="23" t="s">
        <v>42</v>
      </c>
      <c r="AF16" s="23" t="s">
        <v>42</v>
      </c>
      <c r="AG16" s="23" t="s">
        <v>42</v>
      </c>
    </row>
    <row r="17" spans="1:33" ht="72" customHeight="1" x14ac:dyDescent="0.25">
      <c r="A17" s="19" t="s">
        <v>173</v>
      </c>
      <c r="B17" s="20" t="s">
        <v>171</v>
      </c>
      <c r="C17" s="20" t="s">
        <v>417</v>
      </c>
      <c r="D17" s="20" t="s">
        <v>170</v>
      </c>
      <c r="E17" s="20" t="s">
        <v>34</v>
      </c>
      <c r="F17" s="20" t="s">
        <v>35</v>
      </c>
      <c r="G17" s="20" t="s">
        <v>163</v>
      </c>
      <c r="H17" s="21">
        <v>46097.172986111109</v>
      </c>
      <c r="I17" s="22" t="s">
        <v>163</v>
      </c>
      <c r="J17" s="20" t="s">
        <v>163</v>
      </c>
      <c r="K17" s="19" t="s">
        <v>50</v>
      </c>
      <c r="L17" s="19"/>
      <c r="M17" s="19" t="s">
        <v>105</v>
      </c>
      <c r="N17" s="19" t="s">
        <v>51</v>
      </c>
      <c r="O17" s="19" t="s">
        <v>38</v>
      </c>
      <c r="P17" s="19" t="s">
        <v>38</v>
      </c>
      <c r="Q17" s="19" t="s">
        <v>38</v>
      </c>
      <c r="R17" s="19" t="s">
        <v>38</v>
      </c>
      <c r="S17" s="19" t="s">
        <v>38</v>
      </c>
      <c r="T17" s="19" t="s">
        <v>38</v>
      </c>
      <c r="U17" s="19" t="s">
        <v>39</v>
      </c>
      <c r="V17" s="19" t="s">
        <v>40</v>
      </c>
      <c r="W17" s="19" t="s">
        <v>37</v>
      </c>
      <c r="X17" s="19" t="s">
        <v>38</v>
      </c>
      <c r="Y17" s="19"/>
      <c r="Z17" s="19"/>
      <c r="AA17" s="23" t="s">
        <v>42</v>
      </c>
      <c r="AB17" s="23" t="s">
        <v>42</v>
      </c>
      <c r="AC17" s="23" t="s">
        <v>42</v>
      </c>
      <c r="AD17" s="23" t="s">
        <v>42</v>
      </c>
      <c r="AE17" s="23" t="s">
        <v>42</v>
      </c>
      <c r="AF17" s="23" t="s">
        <v>42</v>
      </c>
      <c r="AG17" s="23" t="s">
        <v>42</v>
      </c>
    </row>
    <row r="18" spans="1:33" ht="72" customHeight="1" x14ac:dyDescent="0.25">
      <c r="A18" s="19" t="s">
        <v>174</v>
      </c>
      <c r="B18" s="20" t="s">
        <v>100</v>
      </c>
      <c r="C18" s="20" t="s">
        <v>421</v>
      </c>
      <c r="D18" s="20" t="s">
        <v>101</v>
      </c>
      <c r="E18" s="20" t="s">
        <v>154</v>
      </c>
      <c r="F18" s="20" t="s">
        <v>35</v>
      </c>
      <c r="G18" s="20" t="s">
        <v>163</v>
      </c>
      <c r="H18" s="21">
        <v>46232.137395833342</v>
      </c>
      <c r="I18" s="22" t="s">
        <v>163</v>
      </c>
      <c r="J18" s="20" t="s">
        <v>163</v>
      </c>
      <c r="K18" s="19" t="s">
        <v>50</v>
      </c>
      <c r="L18" s="19"/>
      <c r="M18" s="19" t="s">
        <v>105</v>
      </c>
      <c r="N18" s="19" t="s">
        <v>51</v>
      </c>
      <c r="O18" s="19" t="s">
        <v>38</v>
      </c>
      <c r="P18" s="19" t="s">
        <v>38</v>
      </c>
      <c r="Q18" s="19" t="s">
        <v>38</v>
      </c>
      <c r="R18" s="19" t="s">
        <v>38</v>
      </c>
      <c r="S18" s="19" t="s">
        <v>38</v>
      </c>
      <c r="T18" s="19" t="s">
        <v>38</v>
      </c>
      <c r="U18" s="19" t="s">
        <v>39</v>
      </c>
      <c r="V18" s="19" t="s">
        <v>40</v>
      </c>
      <c r="W18" s="19" t="s">
        <v>37</v>
      </c>
      <c r="X18" s="19" t="s">
        <v>38</v>
      </c>
      <c r="Y18" s="19"/>
      <c r="Z18" s="19"/>
      <c r="AA18" s="23" t="s">
        <v>42</v>
      </c>
      <c r="AB18" s="23" t="s">
        <v>42</v>
      </c>
      <c r="AC18" s="23" t="s">
        <v>42</v>
      </c>
      <c r="AD18" s="23" t="s">
        <v>42</v>
      </c>
      <c r="AE18" s="23" t="s">
        <v>42</v>
      </c>
      <c r="AF18" s="23" t="s">
        <v>42</v>
      </c>
      <c r="AG18" s="23" t="s">
        <v>42</v>
      </c>
    </row>
    <row r="19" spans="1:33" ht="72" customHeight="1" x14ac:dyDescent="0.25">
      <c r="A19" s="19" t="s">
        <v>175</v>
      </c>
      <c r="B19" s="20" t="s">
        <v>100</v>
      </c>
      <c r="C19" s="20" t="s">
        <v>421</v>
      </c>
      <c r="D19" s="20" t="s">
        <v>107</v>
      </c>
      <c r="E19" s="20" t="s">
        <v>154</v>
      </c>
      <c r="F19" s="20" t="s">
        <v>35</v>
      </c>
      <c r="G19" s="20" t="s">
        <v>163</v>
      </c>
      <c r="H19" s="21">
        <v>46232.137442129628</v>
      </c>
      <c r="I19" s="22" t="s">
        <v>163</v>
      </c>
      <c r="J19" s="20" t="s">
        <v>163</v>
      </c>
      <c r="K19" s="19" t="s">
        <v>50</v>
      </c>
      <c r="L19" s="19"/>
      <c r="M19" s="19" t="s">
        <v>105</v>
      </c>
      <c r="N19" s="19" t="s">
        <v>51</v>
      </c>
      <c r="O19" s="19" t="s">
        <v>38</v>
      </c>
      <c r="P19" s="19" t="s">
        <v>38</v>
      </c>
      <c r="Q19" s="19" t="s">
        <v>38</v>
      </c>
      <c r="R19" s="19" t="s">
        <v>38</v>
      </c>
      <c r="S19" s="19" t="s">
        <v>38</v>
      </c>
      <c r="T19" s="19" t="s">
        <v>38</v>
      </c>
      <c r="U19" s="19" t="s">
        <v>39</v>
      </c>
      <c r="V19" s="19" t="s">
        <v>40</v>
      </c>
      <c r="W19" s="19" t="s">
        <v>37</v>
      </c>
      <c r="X19" s="19" t="s">
        <v>38</v>
      </c>
      <c r="Y19" s="19"/>
      <c r="Z19" s="19"/>
      <c r="AA19" s="23" t="s">
        <v>42</v>
      </c>
      <c r="AB19" s="23" t="s">
        <v>42</v>
      </c>
      <c r="AC19" s="23" t="s">
        <v>42</v>
      </c>
      <c r="AD19" s="23" t="s">
        <v>42</v>
      </c>
      <c r="AE19" s="23" t="s">
        <v>42</v>
      </c>
      <c r="AF19" s="23" t="s">
        <v>42</v>
      </c>
      <c r="AG19" s="23" t="s">
        <v>42</v>
      </c>
    </row>
    <row r="20" spans="1:33" ht="72" customHeight="1" x14ac:dyDescent="0.25">
      <c r="A20" s="19" t="s">
        <v>176</v>
      </c>
      <c r="B20" s="20" t="s">
        <v>100</v>
      </c>
      <c r="C20" s="20" t="s">
        <v>421</v>
      </c>
      <c r="D20" s="20" t="s">
        <v>110</v>
      </c>
      <c r="E20" s="20" t="s">
        <v>154</v>
      </c>
      <c r="F20" s="20" t="s">
        <v>35</v>
      </c>
      <c r="G20" s="20" t="s">
        <v>163</v>
      </c>
      <c r="H20" s="21">
        <v>46232.137453703697</v>
      </c>
      <c r="I20" s="22" t="s">
        <v>163</v>
      </c>
      <c r="J20" s="20" t="s">
        <v>163</v>
      </c>
      <c r="K20" s="19" t="s">
        <v>50</v>
      </c>
      <c r="L20" s="19"/>
      <c r="M20" s="19" t="s">
        <v>105</v>
      </c>
      <c r="N20" s="19" t="s">
        <v>51</v>
      </c>
      <c r="O20" s="19" t="s">
        <v>38</v>
      </c>
      <c r="P20" s="19" t="s">
        <v>38</v>
      </c>
      <c r="Q20" s="19" t="s">
        <v>38</v>
      </c>
      <c r="R20" s="19" t="s">
        <v>38</v>
      </c>
      <c r="S20" s="19" t="s">
        <v>38</v>
      </c>
      <c r="T20" s="19" t="s">
        <v>38</v>
      </c>
      <c r="U20" s="19" t="s">
        <v>39</v>
      </c>
      <c r="V20" s="19" t="s">
        <v>40</v>
      </c>
      <c r="W20" s="19" t="s">
        <v>37</v>
      </c>
      <c r="X20" s="19" t="s">
        <v>38</v>
      </c>
      <c r="Y20" s="19"/>
      <c r="Z20" s="19"/>
      <c r="AA20" s="23" t="s">
        <v>42</v>
      </c>
      <c r="AB20" s="23" t="s">
        <v>42</v>
      </c>
      <c r="AC20" s="23" t="s">
        <v>42</v>
      </c>
      <c r="AD20" s="23" t="s">
        <v>42</v>
      </c>
      <c r="AE20" s="23" t="s">
        <v>42</v>
      </c>
      <c r="AF20" s="23" t="s">
        <v>42</v>
      </c>
      <c r="AG20" s="23" t="s">
        <v>42</v>
      </c>
    </row>
    <row r="21" spans="1:33" ht="72" customHeight="1" x14ac:dyDescent="0.25">
      <c r="A21" s="19" t="s">
        <v>177</v>
      </c>
      <c r="B21" s="20" t="s">
        <v>100</v>
      </c>
      <c r="C21" s="20" t="s">
        <v>421</v>
      </c>
      <c r="D21" s="20" t="s">
        <v>112</v>
      </c>
      <c r="E21" s="20" t="s">
        <v>154</v>
      </c>
      <c r="F21" s="20" t="s">
        <v>35</v>
      </c>
      <c r="G21" s="20" t="s">
        <v>163</v>
      </c>
      <c r="H21" s="21">
        <v>46232.137442129628</v>
      </c>
      <c r="I21" s="22" t="s">
        <v>163</v>
      </c>
      <c r="J21" s="20" t="s">
        <v>163</v>
      </c>
      <c r="K21" s="19" t="s">
        <v>50</v>
      </c>
      <c r="L21" s="19"/>
      <c r="M21" s="19" t="s">
        <v>105</v>
      </c>
      <c r="N21" s="19" t="s">
        <v>51</v>
      </c>
      <c r="O21" s="19" t="s">
        <v>38</v>
      </c>
      <c r="P21" s="19" t="s">
        <v>38</v>
      </c>
      <c r="Q21" s="19" t="s">
        <v>38</v>
      </c>
      <c r="R21" s="19" t="s">
        <v>38</v>
      </c>
      <c r="S21" s="19" t="s">
        <v>38</v>
      </c>
      <c r="T21" s="19" t="s">
        <v>38</v>
      </c>
      <c r="U21" s="19" t="s">
        <v>39</v>
      </c>
      <c r="V21" s="19" t="s">
        <v>40</v>
      </c>
      <c r="W21" s="19" t="s">
        <v>37</v>
      </c>
      <c r="X21" s="19" t="s">
        <v>38</v>
      </c>
      <c r="Y21" s="19"/>
      <c r="Z21" s="19"/>
      <c r="AA21" s="23" t="s">
        <v>42</v>
      </c>
      <c r="AB21" s="23" t="s">
        <v>42</v>
      </c>
      <c r="AC21" s="23" t="s">
        <v>42</v>
      </c>
      <c r="AD21" s="23" t="s">
        <v>42</v>
      </c>
      <c r="AE21" s="23" t="s">
        <v>42</v>
      </c>
      <c r="AF21" s="23" t="s">
        <v>42</v>
      </c>
      <c r="AG21" s="23" t="s">
        <v>42</v>
      </c>
    </row>
    <row r="22" spans="1:33" ht="72" customHeight="1" x14ac:dyDescent="0.25">
      <c r="A22" s="19" t="s">
        <v>179</v>
      </c>
      <c r="B22" s="20" t="s">
        <v>180</v>
      </c>
      <c r="C22" s="20" t="s">
        <v>473</v>
      </c>
      <c r="D22" s="20" t="s">
        <v>64</v>
      </c>
      <c r="E22" s="20" t="s">
        <v>34</v>
      </c>
      <c r="F22" s="20" t="s">
        <v>35</v>
      </c>
      <c r="G22" s="20" t="s">
        <v>163</v>
      </c>
      <c r="H22" s="21">
        <v>44707.618425925917</v>
      </c>
      <c r="I22" s="22" t="s">
        <v>163</v>
      </c>
      <c r="J22" s="20" t="s">
        <v>163</v>
      </c>
      <c r="K22" s="19" t="s">
        <v>50</v>
      </c>
      <c r="L22" s="19"/>
      <c r="M22" s="19" t="s">
        <v>105</v>
      </c>
      <c r="N22" s="19" t="s">
        <v>51</v>
      </c>
      <c r="O22" s="19" t="s">
        <v>38</v>
      </c>
      <c r="P22" s="19" t="s">
        <v>38</v>
      </c>
      <c r="Q22" s="19" t="s">
        <v>38</v>
      </c>
      <c r="R22" s="19" t="s">
        <v>38</v>
      </c>
      <c r="S22" s="19" t="s">
        <v>38</v>
      </c>
      <c r="T22" s="19" t="s">
        <v>38</v>
      </c>
      <c r="U22" s="19" t="s">
        <v>39</v>
      </c>
      <c r="V22" s="19" t="s">
        <v>40</v>
      </c>
      <c r="W22" s="19" t="s">
        <v>37</v>
      </c>
      <c r="X22" s="19" t="s">
        <v>38</v>
      </c>
      <c r="Y22" s="19"/>
      <c r="Z22" s="19"/>
      <c r="AA22" s="23" t="s">
        <v>42</v>
      </c>
      <c r="AB22" s="23" t="s">
        <v>42</v>
      </c>
      <c r="AC22" s="23" t="s">
        <v>42</v>
      </c>
      <c r="AD22" s="23" t="s">
        <v>42</v>
      </c>
      <c r="AE22" s="23" t="s">
        <v>42</v>
      </c>
      <c r="AF22" s="23" t="s">
        <v>42</v>
      </c>
      <c r="AG22" s="23" t="s">
        <v>42</v>
      </c>
    </row>
    <row r="23" spans="1:33" ht="72" customHeight="1" x14ac:dyDescent="0.25">
      <c r="A23" s="19" t="s">
        <v>181</v>
      </c>
      <c r="B23" s="20" t="s">
        <v>180</v>
      </c>
      <c r="C23" s="20" t="s">
        <v>473</v>
      </c>
      <c r="D23" s="20" t="s">
        <v>67</v>
      </c>
      <c r="E23" s="20" t="s">
        <v>34</v>
      </c>
      <c r="F23" s="20" t="s">
        <v>35</v>
      </c>
      <c r="G23" s="20" t="s">
        <v>163</v>
      </c>
      <c r="H23" s="21">
        <v>44722.168819444443</v>
      </c>
      <c r="I23" s="22" t="s">
        <v>163</v>
      </c>
      <c r="J23" s="20" t="s">
        <v>163</v>
      </c>
      <c r="K23" s="19" t="s">
        <v>50</v>
      </c>
      <c r="L23" s="19"/>
      <c r="M23" s="19" t="s">
        <v>105</v>
      </c>
      <c r="N23" s="19" t="s">
        <v>51</v>
      </c>
      <c r="O23" s="19" t="s">
        <v>38</v>
      </c>
      <c r="P23" s="19" t="s">
        <v>38</v>
      </c>
      <c r="Q23" s="19" t="s">
        <v>38</v>
      </c>
      <c r="R23" s="19" t="s">
        <v>38</v>
      </c>
      <c r="S23" s="19" t="s">
        <v>38</v>
      </c>
      <c r="T23" s="19" t="s">
        <v>38</v>
      </c>
      <c r="U23" s="19" t="s">
        <v>39</v>
      </c>
      <c r="V23" s="19" t="s">
        <v>40</v>
      </c>
      <c r="W23" s="19" t="s">
        <v>37</v>
      </c>
      <c r="X23" s="19" t="s">
        <v>38</v>
      </c>
      <c r="Y23" s="19"/>
      <c r="Z23" s="19"/>
      <c r="AA23" s="23" t="s">
        <v>42</v>
      </c>
      <c r="AB23" s="23" t="s">
        <v>42</v>
      </c>
      <c r="AC23" s="23" t="s">
        <v>42</v>
      </c>
      <c r="AD23" s="23" t="s">
        <v>42</v>
      </c>
      <c r="AE23" s="23" t="s">
        <v>42</v>
      </c>
      <c r="AF23" s="23" t="s">
        <v>42</v>
      </c>
      <c r="AG23" s="23" t="s">
        <v>42</v>
      </c>
    </row>
    <row r="24" spans="1:33" ht="72" customHeight="1" x14ac:dyDescent="0.25">
      <c r="A24" s="19" t="s">
        <v>182</v>
      </c>
      <c r="B24" s="20" t="s">
        <v>180</v>
      </c>
      <c r="C24" s="20" t="s">
        <v>473</v>
      </c>
      <c r="D24" s="20" t="s">
        <v>68</v>
      </c>
      <c r="E24" s="20" t="s">
        <v>34</v>
      </c>
      <c r="F24" s="20" t="s">
        <v>35</v>
      </c>
      <c r="G24" s="20" t="s">
        <v>163</v>
      </c>
      <c r="H24" s="21">
        <v>44722.168819444443</v>
      </c>
      <c r="I24" s="22" t="s">
        <v>163</v>
      </c>
      <c r="J24" s="20" t="s">
        <v>163</v>
      </c>
      <c r="K24" s="19" t="s">
        <v>50</v>
      </c>
      <c r="L24" s="19"/>
      <c r="M24" s="19" t="s">
        <v>105</v>
      </c>
      <c r="N24" s="19" t="s">
        <v>51</v>
      </c>
      <c r="O24" s="19" t="s">
        <v>38</v>
      </c>
      <c r="P24" s="19" t="s">
        <v>38</v>
      </c>
      <c r="Q24" s="19" t="s">
        <v>38</v>
      </c>
      <c r="R24" s="19" t="s">
        <v>38</v>
      </c>
      <c r="S24" s="19" t="s">
        <v>38</v>
      </c>
      <c r="T24" s="19" t="s">
        <v>38</v>
      </c>
      <c r="U24" s="19" t="s">
        <v>39</v>
      </c>
      <c r="V24" s="19" t="s">
        <v>40</v>
      </c>
      <c r="W24" s="19" t="s">
        <v>37</v>
      </c>
      <c r="X24" s="19" t="s">
        <v>38</v>
      </c>
      <c r="Y24" s="19"/>
      <c r="Z24" s="19"/>
      <c r="AA24" s="23" t="s">
        <v>42</v>
      </c>
      <c r="AB24" s="23" t="s">
        <v>42</v>
      </c>
      <c r="AC24" s="23" t="s">
        <v>42</v>
      </c>
      <c r="AD24" s="23" t="s">
        <v>42</v>
      </c>
      <c r="AE24" s="23" t="s">
        <v>42</v>
      </c>
      <c r="AF24" s="23" t="s">
        <v>42</v>
      </c>
      <c r="AG24" s="23" t="s">
        <v>42</v>
      </c>
    </row>
    <row r="25" spans="1:33" ht="72" customHeight="1" x14ac:dyDescent="0.25">
      <c r="A25" s="19" t="s">
        <v>183</v>
      </c>
      <c r="B25" s="20" t="s">
        <v>180</v>
      </c>
      <c r="C25" s="20" t="s">
        <v>473</v>
      </c>
      <c r="D25" s="20" t="s">
        <v>70</v>
      </c>
      <c r="E25" s="20" t="s">
        <v>34</v>
      </c>
      <c r="F25" s="20" t="s">
        <v>35</v>
      </c>
      <c r="G25" s="20" t="s">
        <v>163</v>
      </c>
      <c r="H25" s="21">
        <v>44722.168819444443</v>
      </c>
      <c r="I25" s="22" t="s">
        <v>163</v>
      </c>
      <c r="J25" s="20" t="s">
        <v>163</v>
      </c>
      <c r="K25" s="19" t="s">
        <v>50</v>
      </c>
      <c r="L25" s="19"/>
      <c r="M25" s="19" t="s">
        <v>105</v>
      </c>
      <c r="N25" s="19" t="s">
        <v>51</v>
      </c>
      <c r="O25" s="19" t="s">
        <v>38</v>
      </c>
      <c r="P25" s="19" t="s">
        <v>38</v>
      </c>
      <c r="Q25" s="19" t="s">
        <v>38</v>
      </c>
      <c r="R25" s="19" t="s">
        <v>38</v>
      </c>
      <c r="S25" s="19" t="s">
        <v>38</v>
      </c>
      <c r="T25" s="19" t="s">
        <v>38</v>
      </c>
      <c r="U25" s="19" t="s">
        <v>39</v>
      </c>
      <c r="V25" s="19" t="s">
        <v>40</v>
      </c>
      <c r="W25" s="19" t="s">
        <v>37</v>
      </c>
      <c r="X25" s="19" t="s">
        <v>38</v>
      </c>
      <c r="Y25" s="19"/>
      <c r="Z25" s="19"/>
      <c r="AA25" s="23" t="s">
        <v>42</v>
      </c>
      <c r="AB25" s="23" t="s">
        <v>42</v>
      </c>
      <c r="AC25" s="23" t="s">
        <v>42</v>
      </c>
      <c r="AD25" s="23" t="s">
        <v>42</v>
      </c>
      <c r="AE25" s="23" t="s">
        <v>42</v>
      </c>
      <c r="AF25" s="23" t="s">
        <v>42</v>
      </c>
      <c r="AG25" s="23" t="s">
        <v>42</v>
      </c>
    </row>
    <row r="26" spans="1:33" ht="72" customHeight="1" x14ac:dyDescent="0.25">
      <c r="A26" s="19" t="s">
        <v>184</v>
      </c>
      <c r="B26" s="20" t="s">
        <v>180</v>
      </c>
      <c r="C26" s="20" t="s">
        <v>473</v>
      </c>
      <c r="D26" s="20" t="s">
        <v>71</v>
      </c>
      <c r="E26" s="20" t="s">
        <v>34</v>
      </c>
      <c r="F26" s="20" t="s">
        <v>35</v>
      </c>
      <c r="G26" s="20" t="s">
        <v>163</v>
      </c>
      <c r="H26" s="21">
        <v>44722.168819444443</v>
      </c>
      <c r="I26" s="22" t="s">
        <v>163</v>
      </c>
      <c r="J26" s="20" t="s">
        <v>163</v>
      </c>
      <c r="K26" s="19" t="s">
        <v>50</v>
      </c>
      <c r="L26" s="19"/>
      <c r="M26" s="19" t="s">
        <v>105</v>
      </c>
      <c r="N26" s="19" t="s">
        <v>51</v>
      </c>
      <c r="O26" s="19" t="s">
        <v>38</v>
      </c>
      <c r="P26" s="19" t="s">
        <v>38</v>
      </c>
      <c r="Q26" s="19" t="s">
        <v>38</v>
      </c>
      <c r="R26" s="19" t="s">
        <v>38</v>
      </c>
      <c r="S26" s="19" t="s">
        <v>38</v>
      </c>
      <c r="T26" s="19" t="s">
        <v>38</v>
      </c>
      <c r="U26" s="19" t="s">
        <v>39</v>
      </c>
      <c r="V26" s="19" t="s">
        <v>40</v>
      </c>
      <c r="W26" s="19" t="s">
        <v>37</v>
      </c>
      <c r="X26" s="19" t="s">
        <v>38</v>
      </c>
      <c r="Y26" s="19"/>
      <c r="Z26" s="19"/>
      <c r="AA26" s="23" t="s">
        <v>42</v>
      </c>
      <c r="AB26" s="23" t="s">
        <v>42</v>
      </c>
      <c r="AC26" s="23" t="s">
        <v>42</v>
      </c>
      <c r="AD26" s="23" t="s">
        <v>42</v>
      </c>
      <c r="AE26" s="23" t="s">
        <v>42</v>
      </c>
      <c r="AF26" s="23" t="s">
        <v>42</v>
      </c>
      <c r="AG26" s="23" t="s">
        <v>42</v>
      </c>
    </row>
    <row r="27" spans="1:33" ht="72" customHeight="1" x14ac:dyDescent="0.25">
      <c r="A27" s="19" t="s">
        <v>185</v>
      </c>
      <c r="B27" s="20" t="s">
        <v>180</v>
      </c>
      <c r="C27" s="20" t="s">
        <v>473</v>
      </c>
      <c r="D27" s="20" t="s">
        <v>73</v>
      </c>
      <c r="E27" s="20" t="s">
        <v>34</v>
      </c>
      <c r="F27" s="20" t="s">
        <v>35</v>
      </c>
      <c r="G27" s="20" t="s">
        <v>163</v>
      </c>
      <c r="H27" s="21">
        <v>44707.618425925917</v>
      </c>
      <c r="I27" s="22" t="s">
        <v>163</v>
      </c>
      <c r="J27" s="20" t="s">
        <v>163</v>
      </c>
      <c r="K27" s="19" t="s">
        <v>50</v>
      </c>
      <c r="L27" s="19"/>
      <c r="M27" s="19" t="s">
        <v>105</v>
      </c>
      <c r="N27" s="19" t="s">
        <v>51</v>
      </c>
      <c r="O27" s="19" t="s">
        <v>38</v>
      </c>
      <c r="P27" s="19" t="s">
        <v>38</v>
      </c>
      <c r="Q27" s="19" t="s">
        <v>38</v>
      </c>
      <c r="R27" s="19" t="s">
        <v>38</v>
      </c>
      <c r="S27" s="19" t="s">
        <v>38</v>
      </c>
      <c r="T27" s="19" t="s">
        <v>38</v>
      </c>
      <c r="U27" s="19" t="s">
        <v>39</v>
      </c>
      <c r="V27" s="19" t="s">
        <v>40</v>
      </c>
      <c r="W27" s="19" t="s">
        <v>37</v>
      </c>
      <c r="X27" s="19" t="s">
        <v>38</v>
      </c>
      <c r="Y27" s="19"/>
      <c r="Z27" s="19"/>
      <c r="AA27" s="23" t="s">
        <v>42</v>
      </c>
      <c r="AB27" s="23" t="s">
        <v>42</v>
      </c>
      <c r="AC27" s="23" t="s">
        <v>42</v>
      </c>
      <c r="AD27" s="23" t="s">
        <v>42</v>
      </c>
      <c r="AE27" s="23" t="s">
        <v>42</v>
      </c>
      <c r="AF27" s="23" t="s">
        <v>42</v>
      </c>
      <c r="AG27" s="23" t="s">
        <v>42</v>
      </c>
    </row>
    <row r="28" spans="1:33" ht="72" customHeight="1" x14ac:dyDescent="0.25">
      <c r="A28" s="19" t="s">
        <v>186</v>
      </c>
      <c r="B28" s="20" t="s">
        <v>180</v>
      </c>
      <c r="C28" s="20" t="s">
        <v>473</v>
      </c>
      <c r="D28" s="20" t="s">
        <v>75</v>
      </c>
      <c r="E28" s="20" t="s">
        <v>34</v>
      </c>
      <c r="F28" s="20" t="s">
        <v>76</v>
      </c>
      <c r="G28" s="20" t="s">
        <v>163</v>
      </c>
      <c r="H28" s="21">
        <v>44602.168611111112</v>
      </c>
      <c r="I28" s="22" t="s">
        <v>163</v>
      </c>
      <c r="J28" s="20" t="s">
        <v>163</v>
      </c>
      <c r="K28" s="19" t="s">
        <v>50</v>
      </c>
      <c r="L28" s="19"/>
      <c r="M28" s="19" t="s">
        <v>105</v>
      </c>
      <c r="N28" s="19" t="s">
        <v>85</v>
      </c>
      <c r="O28" s="19" t="s">
        <v>62</v>
      </c>
      <c r="P28" s="19" t="s">
        <v>38</v>
      </c>
      <c r="Q28" s="19" t="s">
        <v>38</v>
      </c>
      <c r="R28" s="19" t="s">
        <v>38</v>
      </c>
      <c r="S28" s="19" t="s">
        <v>38</v>
      </c>
      <c r="T28" s="19" t="s">
        <v>38</v>
      </c>
      <c r="U28" s="19" t="s">
        <v>39</v>
      </c>
      <c r="V28" s="19" t="s">
        <v>40</v>
      </c>
      <c r="W28" s="19" t="s">
        <v>37</v>
      </c>
      <c r="X28" s="19" t="s">
        <v>38</v>
      </c>
      <c r="Y28" s="19"/>
      <c r="Z28" s="19"/>
      <c r="AA28" s="23" t="s">
        <v>42</v>
      </c>
      <c r="AB28" s="23" t="s">
        <v>42</v>
      </c>
      <c r="AC28" s="23" t="s">
        <v>42</v>
      </c>
      <c r="AD28" s="23" t="s">
        <v>42</v>
      </c>
      <c r="AE28" s="23" t="s">
        <v>42</v>
      </c>
      <c r="AF28" s="23" t="s">
        <v>42</v>
      </c>
      <c r="AG28" s="23" t="s">
        <v>42</v>
      </c>
    </row>
    <row r="29" spans="1:33" ht="72" customHeight="1" x14ac:dyDescent="0.25">
      <c r="A29" s="19" t="s">
        <v>187</v>
      </c>
      <c r="B29" s="20" t="s">
        <v>180</v>
      </c>
      <c r="C29" s="20" t="s">
        <v>473</v>
      </c>
      <c r="D29" s="20" t="s">
        <v>77</v>
      </c>
      <c r="E29" s="20" t="s">
        <v>34</v>
      </c>
      <c r="F29" s="20" t="s">
        <v>35</v>
      </c>
      <c r="G29" s="20" t="s">
        <v>163</v>
      </c>
      <c r="H29" s="21">
        <v>44707.618425925917</v>
      </c>
      <c r="I29" s="22" t="s">
        <v>163</v>
      </c>
      <c r="J29" s="20" t="s">
        <v>163</v>
      </c>
      <c r="K29" s="19" t="s">
        <v>50</v>
      </c>
      <c r="L29" s="19"/>
      <c r="M29" s="19" t="s">
        <v>105</v>
      </c>
      <c r="N29" s="19" t="s">
        <v>51</v>
      </c>
      <c r="O29" s="19" t="s">
        <v>38</v>
      </c>
      <c r="P29" s="19" t="s">
        <v>38</v>
      </c>
      <c r="Q29" s="19" t="s">
        <v>38</v>
      </c>
      <c r="R29" s="19" t="s">
        <v>38</v>
      </c>
      <c r="S29" s="19" t="s">
        <v>38</v>
      </c>
      <c r="T29" s="19" t="s">
        <v>38</v>
      </c>
      <c r="U29" s="19" t="s">
        <v>39</v>
      </c>
      <c r="V29" s="19" t="s">
        <v>40</v>
      </c>
      <c r="W29" s="19" t="s">
        <v>37</v>
      </c>
      <c r="X29" s="19" t="s">
        <v>38</v>
      </c>
      <c r="Y29" s="19"/>
      <c r="Z29" s="19"/>
      <c r="AA29" s="23" t="s">
        <v>42</v>
      </c>
      <c r="AB29" s="23" t="s">
        <v>42</v>
      </c>
      <c r="AC29" s="23" t="s">
        <v>42</v>
      </c>
      <c r="AD29" s="23" t="s">
        <v>42</v>
      </c>
      <c r="AE29" s="23" t="s">
        <v>42</v>
      </c>
      <c r="AF29" s="23" t="s">
        <v>42</v>
      </c>
      <c r="AG29" s="23" t="s">
        <v>42</v>
      </c>
    </row>
    <row r="30" spans="1:33" ht="72" customHeight="1" x14ac:dyDescent="0.25">
      <c r="A30" s="19" t="s">
        <v>188</v>
      </c>
      <c r="B30" s="20" t="s">
        <v>180</v>
      </c>
      <c r="C30" s="20" t="s">
        <v>473</v>
      </c>
      <c r="D30" s="20" t="s">
        <v>78</v>
      </c>
      <c r="E30" s="20" t="s">
        <v>34</v>
      </c>
      <c r="F30" s="20" t="s">
        <v>35</v>
      </c>
      <c r="G30" s="20" t="s">
        <v>163</v>
      </c>
      <c r="H30" s="21">
        <v>44707.618425925917</v>
      </c>
      <c r="I30" s="22" t="s">
        <v>163</v>
      </c>
      <c r="J30" s="20" t="s">
        <v>163</v>
      </c>
      <c r="K30" s="19" t="s">
        <v>50</v>
      </c>
      <c r="L30" s="19"/>
      <c r="M30" s="19" t="s">
        <v>105</v>
      </c>
      <c r="N30" s="19" t="s">
        <v>51</v>
      </c>
      <c r="O30" s="19" t="s">
        <v>38</v>
      </c>
      <c r="P30" s="19" t="s">
        <v>38</v>
      </c>
      <c r="Q30" s="19" t="s">
        <v>38</v>
      </c>
      <c r="R30" s="19" t="s">
        <v>38</v>
      </c>
      <c r="S30" s="19" t="s">
        <v>38</v>
      </c>
      <c r="T30" s="19" t="s">
        <v>38</v>
      </c>
      <c r="U30" s="19" t="s">
        <v>39</v>
      </c>
      <c r="V30" s="19" t="s">
        <v>40</v>
      </c>
      <c r="W30" s="19" t="s">
        <v>37</v>
      </c>
      <c r="X30" s="19" t="s">
        <v>38</v>
      </c>
      <c r="Y30" s="19"/>
      <c r="Z30" s="19"/>
      <c r="AA30" s="23" t="s">
        <v>42</v>
      </c>
      <c r="AB30" s="23" t="s">
        <v>42</v>
      </c>
      <c r="AC30" s="23" t="s">
        <v>42</v>
      </c>
      <c r="AD30" s="23" t="s">
        <v>42</v>
      </c>
      <c r="AE30" s="23" t="s">
        <v>42</v>
      </c>
      <c r="AF30" s="23" t="s">
        <v>42</v>
      </c>
      <c r="AG30" s="23" t="s">
        <v>42</v>
      </c>
    </row>
    <row r="31" spans="1:33" ht="72" customHeight="1" x14ac:dyDescent="0.25">
      <c r="A31" s="19" t="s">
        <v>189</v>
      </c>
      <c r="B31" s="20" t="s">
        <v>180</v>
      </c>
      <c r="C31" s="20" t="s">
        <v>473</v>
      </c>
      <c r="D31" s="20" t="s">
        <v>79</v>
      </c>
      <c r="E31" s="20" t="s">
        <v>34</v>
      </c>
      <c r="F31" s="20" t="s">
        <v>35</v>
      </c>
      <c r="G31" s="20" t="s">
        <v>163</v>
      </c>
      <c r="H31" s="21">
        <v>44722.168819444443</v>
      </c>
      <c r="I31" s="22" t="s">
        <v>163</v>
      </c>
      <c r="J31" s="20" t="s">
        <v>163</v>
      </c>
      <c r="K31" s="19" t="s">
        <v>50</v>
      </c>
      <c r="L31" s="19"/>
      <c r="M31" s="19" t="s">
        <v>105</v>
      </c>
      <c r="N31" s="19" t="s">
        <v>51</v>
      </c>
      <c r="O31" s="19" t="s">
        <v>38</v>
      </c>
      <c r="P31" s="19" t="s">
        <v>38</v>
      </c>
      <c r="Q31" s="19" t="s">
        <v>38</v>
      </c>
      <c r="R31" s="19" t="s">
        <v>38</v>
      </c>
      <c r="S31" s="19" t="s">
        <v>38</v>
      </c>
      <c r="T31" s="19" t="s">
        <v>38</v>
      </c>
      <c r="U31" s="19" t="s">
        <v>39</v>
      </c>
      <c r="V31" s="19" t="s">
        <v>40</v>
      </c>
      <c r="W31" s="19" t="s">
        <v>37</v>
      </c>
      <c r="X31" s="19" t="s">
        <v>38</v>
      </c>
      <c r="Y31" s="19"/>
      <c r="Z31" s="19"/>
      <c r="AA31" s="23" t="s">
        <v>42</v>
      </c>
      <c r="AB31" s="23" t="s">
        <v>42</v>
      </c>
      <c r="AC31" s="23" t="s">
        <v>42</v>
      </c>
      <c r="AD31" s="23" t="s">
        <v>42</v>
      </c>
      <c r="AE31" s="23" t="s">
        <v>42</v>
      </c>
      <c r="AF31" s="23" t="s">
        <v>42</v>
      </c>
      <c r="AG31" s="23" t="s">
        <v>42</v>
      </c>
    </row>
    <row r="32" spans="1:33" ht="72" customHeight="1" x14ac:dyDescent="0.25">
      <c r="A32" s="19" t="s">
        <v>190</v>
      </c>
      <c r="B32" s="20" t="s">
        <v>180</v>
      </c>
      <c r="C32" s="20" t="s">
        <v>473</v>
      </c>
      <c r="D32" s="20" t="s">
        <v>80</v>
      </c>
      <c r="E32" s="20" t="s">
        <v>34</v>
      </c>
      <c r="F32" s="20" t="s">
        <v>35</v>
      </c>
      <c r="G32" s="20" t="s">
        <v>163</v>
      </c>
      <c r="H32" s="21">
        <v>44722.168819444443</v>
      </c>
      <c r="I32" s="22" t="s">
        <v>163</v>
      </c>
      <c r="J32" s="20" t="s">
        <v>163</v>
      </c>
      <c r="K32" s="19" t="s">
        <v>50</v>
      </c>
      <c r="L32" s="19"/>
      <c r="M32" s="19" t="s">
        <v>105</v>
      </c>
      <c r="N32" s="19" t="s">
        <v>51</v>
      </c>
      <c r="O32" s="19" t="s">
        <v>38</v>
      </c>
      <c r="P32" s="19" t="s">
        <v>38</v>
      </c>
      <c r="Q32" s="19" t="s">
        <v>38</v>
      </c>
      <c r="R32" s="19" t="s">
        <v>38</v>
      </c>
      <c r="S32" s="19" t="s">
        <v>38</v>
      </c>
      <c r="T32" s="19" t="s">
        <v>38</v>
      </c>
      <c r="U32" s="19" t="s">
        <v>39</v>
      </c>
      <c r="V32" s="19" t="s">
        <v>40</v>
      </c>
      <c r="W32" s="19" t="s">
        <v>37</v>
      </c>
      <c r="X32" s="19" t="s">
        <v>38</v>
      </c>
      <c r="Y32" s="19"/>
      <c r="Z32" s="19"/>
      <c r="AA32" s="23" t="s">
        <v>42</v>
      </c>
      <c r="AB32" s="23" t="s">
        <v>42</v>
      </c>
      <c r="AC32" s="23" t="s">
        <v>42</v>
      </c>
      <c r="AD32" s="23" t="s">
        <v>42</v>
      </c>
      <c r="AE32" s="23" t="s">
        <v>42</v>
      </c>
      <c r="AF32" s="23" t="s">
        <v>42</v>
      </c>
      <c r="AG32" s="23" t="s">
        <v>42</v>
      </c>
    </row>
    <row r="33" spans="1:33" ht="72" customHeight="1" x14ac:dyDescent="0.25">
      <c r="A33" s="19" t="s">
        <v>191</v>
      </c>
      <c r="B33" s="20" t="s">
        <v>180</v>
      </c>
      <c r="C33" s="20" t="s">
        <v>473</v>
      </c>
      <c r="D33" s="20" t="s">
        <v>81</v>
      </c>
      <c r="E33" s="20" t="s">
        <v>34</v>
      </c>
      <c r="F33" s="20" t="s">
        <v>35</v>
      </c>
      <c r="G33" s="20" t="s">
        <v>163</v>
      </c>
      <c r="H33" s="21">
        <v>44722.168819444443</v>
      </c>
      <c r="I33" s="22" t="s">
        <v>163</v>
      </c>
      <c r="J33" s="20" t="s">
        <v>163</v>
      </c>
      <c r="K33" s="19" t="s">
        <v>50</v>
      </c>
      <c r="L33" s="19"/>
      <c r="M33" s="19" t="s">
        <v>105</v>
      </c>
      <c r="N33" s="19" t="s">
        <v>51</v>
      </c>
      <c r="O33" s="19" t="s">
        <v>38</v>
      </c>
      <c r="P33" s="19" t="s">
        <v>38</v>
      </c>
      <c r="Q33" s="19" t="s">
        <v>38</v>
      </c>
      <c r="R33" s="19" t="s">
        <v>38</v>
      </c>
      <c r="S33" s="19" t="s">
        <v>38</v>
      </c>
      <c r="T33" s="19" t="s">
        <v>38</v>
      </c>
      <c r="U33" s="19" t="s">
        <v>39</v>
      </c>
      <c r="V33" s="19" t="s">
        <v>40</v>
      </c>
      <c r="W33" s="19" t="s">
        <v>37</v>
      </c>
      <c r="X33" s="19" t="s">
        <v>38</v>
      </c>
      <c r="Y33" s="19"/>
      <c r="Z33" s="19"/>
      <c r="AA33" s="23" t="s">
        <v>42</v>
      </c>
      <c r="AB33" s="23" t="s">
        <v>42</v>
      </c>
      <c r="AC33" s="23" t="s">
        <v>42</v>
      </c>
      <c r="AD33" s="23" t="s">
        <v>42</v>
      </c>
      <c r="AE33" s="23" t="s">
        <v>42</v>
      </c>
      <c r="AF33" s="23" t="s">
        <v>42</v>
      </c>
      <c r="AG33" s="23" t="s">
        <v>42</v>
      </c>
    </row>
    <row r="34" spans="1:33" ht="72" customHeight="1" x14ac:dyDescent="0.25">
      <c r="A34" s="19" t="s">
        <v>192</v>
      </c>
      <c r="B34" s="20" t="s">
        <v>180</v>
      </c>
      <c r="C34" s="20" t="s">
        <v>473</v>
      </c>
      <c r="D34" s="20" t="s">
        <v>82</v>
      </c>
      <c r="E34" s="20" t="s">
        <v>34</v>
      </c>
      <c r="F34" s="20" t="s">
        <v>35</v>
      </c>
      <c r="G34" s="20" t="s">
        <v>163</v>
      </c>
      <c r="H34" s="21">
        <v>44722.168819444443</v>
      </c>
      <c r="I34" s="22" t="s">
        <v>163</v>
      </c>
      <c r="J34" s="20" t="s">
        <v>163</v>
      </c>
      <c r="K34" s="19" t="s">
        <v>50</v>
      </c>
      <c r="L34" s="19"/>
      <c r="M34" s="19" t="s">
        <v>105</v>
      </c>
      <c r="N34" s="19" t="s">
        <v>51</v>
      </c>
      <c r="O34" s="19" t="s">
        <v>38</v>
      </c>
      <c r="P34" s="19" t="s">
        <v>38</v>
      </c>
      <c r="Q34" s="19" t="s">
        <v>38</v>
      </c>
      <c r="R34" s="19" t="s">
        <v>38</v>
      </c>
      <c r="S34" s="19" t="s">
        <v>38</v>
      </c>
      <c r="T34" s="19" t="s">
        <v>38</v>
      </c>
      <c r="U34" s="19" t="s">
        <v>39</v>
      </c>
      <c r="V34" s="19" t="s">
        <v>40</v>
      </c>
      <c r="W34" s="19" t="s">
        <v>37</v>
      </c>
      <c r="X34" s="19" t="s">
        <v>38</v>
      </c>
      <c r="Y34" s="19"/>
      <c r="Z34" s="19"/>
      <c r="AA34" s="23" t="s">
        <v>42</v>
      </c>
      <c r="AB34" s="23" t="s">
        <v>42</v>
      </c>
      <c r="AC34" s="23" t="s">
        <v>42</v>
      </c>
      <c r="AD34" s="23" t="s">
        <v>42</v>
      </c>
      <c r="AE34" s="23" t="s">
        <v>42</v>
      </c>
      <c r="AF34" s="23" t="s">
        <v>42</v>
      </c>
      <c r="AG34" s="23" t="s">
        <v>42</v>
      </c>
    </row>
    <row r="35" spans="1:33" ht="72" customHeight="1" x14ac:dyDescent="0.25">
      <c r="A35" s="19" t="s">
        <v>193</v>
      </c>
      <c r="B35" s="20" t="s">
        <v>180</v>
      </c>
      <c r="C35" s="20" t="s">
        <v>473</v>
      </c>
      <c r="D35" s="20" t="s">
        <v>83</v>
      </c>
      <c r="E35" s="20" t="s">
        <v>34</v>
      </c>
      <c r="F35" s="20" t="s">
        <v>76</v>
      </c>
      <c r="G35" s="20" t="s">
        <v>163</v>
      </c>
      <c r="H35" s="21">
        <v>44193.002141203702</v>
      </c>
      <c r="I35" s="22" t="s">
        <v>163</v>
      </c>
      <c r="J35" s="20" t="s">
        <v>163</v>
      </c>
      <c r="K35" s="19" t="s">
        <v>50</v>
      </c>
      <c r="L35" s="19"/>
      <c r="M35" s="19" t="s">
        <v>105</v>
      </c>
      <c r="N35" s="19" t="s">
        <v>85</v>
      </c>
      <c r="O35" s="19" t="s">
        <v>62</v>
      </c>
      <c r="P35" s="19" t="s">
        <v>38</v>
      </c>
      <c r="Q35" s="19" t="s">
        <v>38</v>
      </c>
      <c r="R35" s="19" t="s">
        <v>38</v>
      </c>
      <c r="S35" s="19" t="s">
        <v>38</v>
      </c>
      <c r="T35" s="19" t="s">
        <v>38</v>
      </c>
      <c r="U35" s="19" t="s">
        <v>39</v>
      </c>
      <c r="V35" s="19" t="s">
        <v>40</v>
      </c>
      <c r="W35" s="19" t="s">
        <v>37</v>
      </c>
      <c r="X35" s="19" t="s">
        <v>38</v>
      </c>
      <c r="Y35" s="19"/>
      <c r="Z35" s="19"/>
      <c r="AA35" s="23" t="s">
        <v>42</v>
      </c>
      <c r="AB35" s="23" t="s">
        <v>42</v>
      </c>
      <c r="AC35" s="23" t="s">
        <v>42</v>
      </c>
      <c r="AD35" s="23" t="s">
        <v>42</v>
      </c>
      <c r="AE35" s="23" t="s">
        <v>42</v>
      </c>
      <c r="AF35" s="23" t="s">
        <v>42</v>
      </c>
      <c r="AG35" s="23" t="s">
        <v>42</v>
      </c>
    </row>
    <row r="36" spans="1:33" ht="72" customHeight="1" x14ac:dyDescent="0.25">
      <c r="A36" s="19" t="s">
        <v>194</v>
      </c>
      <c r="B36" s="20" t="s">
        <v>180</v>
      </c>
      <c r="C36" s="20" t="s">
        <v>473</v>
      </c>
      <c r="D36" s="20" t="s">
        <v>86</v>
      </c>
      <c r="E36" s="20" t="s">
        <v>34</v>
      </c>
      <c r="F36" s="20" t="s">
        <v>35</v>
      </c>
      <c r="G36" s="20" t="s">
        <v>163</v>
      </c>
      <c r="H36" s="21">
        <v>44722.168819444443</v>
      </c>
      <c r="I36" s="22" t="s">
        <v>163</v>
      </c>
      <c r="J36" s="20" t="s">
        <v>163</v>
      </c>
      <c r="K36" s="19" t="s">
        <v>50</v>
      </c>
      <c r="L36" s="19"/>
      <c r="M36" s="19" t="s">
        <v>105</v>
      </c>
      <c r="N36" s="19" t="s">
        <v>51</v>
      </c>
      <c r="O36" s="19" t="s">
        <v>38</v>
      </c>
      <c r="P36" s="19" t="s">
        <v>38</v>
      </c>
      <c r="Q36" s="19" t="s">
        <v>38</v>
      </c>
      <c r="R36" s="19" t="s">
        <v>38</v>
      </c>
      <c r="S36" s="19" t="s">
        <v>38</v>
      </c>
      <c r="T36" s="19" t="s">
        <v>38</v>
      </c>
      <c r="U36" s="19" t="s">
        <v>39</v>
      </c>
      <c r="V36" s="19" t="s">
        <v>40</v>
      </c>
      <c r="W36" s="19" t="s">
        <v>37</v>
      </c>
      <c r="X36" s="19" t="s">
        <v>38</v>
      </c>
      <c r="Y36" s="19"/>
      <c r="Z36" s="19"/>
      <c r="AA36" s="23" t="s">
        <v>42</v>
      </c>
      <c r="AB36" s="23" t="s">
        <v>42</v>
      </c>
      <c r="AC36" s="23" t="s">
        <v>42</v>
      </c>
      <c r="AD36" s="23" t="s">
        <v>42</v>
      </c>
      <c r="AE36" s="23" t="s">
        <v>42</v>
      </c>
      <c r="AF36" s="23" t="s">
        <v>42</v>
      </c>
      <c r="AG36" s="23" t="s">
        <v>42</v>
      </c>
    </row>
    <row r="37" spans="1:33" ht="72" customHeight="1" x14ac:dyDescent="0.25">
      <c r="A37" s="19" t="s">
        <v>195</v>
      </c>
      <c r="B37" s="20" t="s">
        <v>180</v>
      </c>
      <c r="C37" s="20" t="s">
        <v>473</v>
      </c>
      <c r="D37" s="20" t="s">
        <v>87</v>
      </c>
      <c r="E37" s="20" t="s">
        <v>34</v>
      </c>
      <c r="F37" s="20" t="s">
        <v>35</v>
      </c>
      <c r="G37" s="20" t="s">
        <v>163</v>
      </c>
      <c r="H37" s="21">
        <v>44722.168819444443</v>
      </c>
      <c r="I37" s="22" t="s">
        <v>163</v>
      </c>
      <c r="J37" s="20" t="s">
        <v>163</v>
      </c>
      <c r="K37" s="19" t="s">
        <v>50</v>
      </c>
      <c r="L37" s="19"/>
      <c r="M37" s="19" t="s">
        <v>105</v>
      </c>
      <c r="N37" s="19" t="s">
        <v>51</v>
      </c>
      <c r="O37" s="19" t="s">
        <v>38</v>
      </c>
      <c r="P37" s="19" t="s">
        <v>38</v>
      </c>
      <c r="Q37" s="19" t="s">
        <v>38</v>
      </c>
      <c r="R37" s="19" t="s">
        <v>38</v>
      </c>
      <c r="S37" s="19" t="s">
        <v>38</v>
      </c>
      <c r="T37" s="19" t="s">
        <v>38</v>
      </c>
      <c r="U37" s="19" t="s">
        <v>39</v>
      </c>
      <c r="V37" s="19" t="s">
        <v>40</v>
      </c>
      <c r="W37" s="19" t="s">
        <v>37</v>
      </c>
      <c r="X37" s="19" t="s">
        <v>38</v>
      </c>
      <c r="Y37" s="19"/>
      <c r="Z37" s="19"/>
      <c r="AA37" s="23" t="s">
        <v>42</v>
      </c>
      <c r="AB37" s="23" t="s">
        <v>42</v>
      </c>
      <c r="AC37" s="23" t="s">
        <v>42</v>
      </c>
      <c r="AD37" s="23" t="s">
        <v>42</v>
      </c>
      <c r="AE37" s="23" t="s">
        <v>42</v>
      </c>
      <c r="AF37" s="23" t="s">
        <v>42</v>
      </c>
      <c r="AG37" s="23" t="s">
        <v>42</v>
      </c>
    </row>
    <row r="38" spans="1:33" ht="72" customHeight="1" x14ac:dyDescent="0.25">
      <c r="A38" s="19" t="s">
        <v>196</v>
      </c>
      <c r="B38" s="20" t="s">
        <v>180</v>
      </c>
      <c r="C38" s="20" t="s">
        <v>473</v>
      </c>
      <c r="D38" s="20" t="s">
        <v>88</v>
      </c>
      <c r="E38" s="20" t="s">
        <v>34</v>
      </c>
      <c r="F38" s="20" t="s">
        <v>35</v>
      </c>
      <c r="G38" s="20" t="s">
        <v>163</v>
      </c>
      <c r="H38" s="21">
        <v>44722.168819444443</v>
      </c>
      <c r="I38" s="22" t="s">
        <v>163</v>
      </c>
      <c r="J38" s="20" t="s">
        <v>163</v>
      </c>
      <c r="K38" s="19" t="s">
        <v>50</v>
      </c>
      <c r="L38" s="19"/>
      <c r="M38" s="19" t="s">
        <v>105</v>
      </c>
      <c r="N38" s="19" t="s">
        <v>51</v>
      </c>
      <c r="O38" s="19" t="s">
        <v>38</v>
      </c>
      <c r="P38" s="19" t="s">
        <v>38</v>
      </c>
      <c r="Q38" s="19" t="s">
        <v>38</v>
      </c>
      <c r="R38" s="19" t="s">
        <v>38</v>
      </c>
      <c r="S38" s="19" t="s">
        <v>38</v>
      </c>
      <c r="T38" s="19" t="s">
        <v>38</v>
      </c>
      <c r="U38" s="19" t="s">
        <v>39</v>
      </c>
      <c r="V38" s="19" t="s">
        <v>40</v>
      </c>
      <c r="W38" s="19" t="s">
        <v>37</v>
      </c>
      <c r="X38" s="19" t="s">
        <v>38</v>
      </c>
      <c r="Y38" s="19"/>
      <c r="Z38" s="19"/>
      <c r="AA38" s="23" t="s">
        <v>42</v>
      </c>
      <c r="AB38" s="23" t="s">
        <v>42</v>
      </c>
      <c r="AC38" s="23" t="s">
        <v>42</v>
      </c>
      <c r="AD38" s="23" t="s">
        <v>42</v>
      </c>
      <c r="AE38" s="23" t="s">
        <v>42</v>
      </c>
      <c r="AF38" s="23" t="s">
        <v>42</v>
      </c>
      <c r="AG38" s="23" t="s">
        <v>42</v>
      </c>
    </row>
    <row r="39" spans="1:33" ht="72" customHeight="1" x14ac:dyDescent="0.25">
      <c r="A39" s="19" t="s">
        <v>197</v>
      </c>
      <c r="B39" s="20" t="s">
        <v>180</v>
      </c>
      <c r="C39" s="20" t="s">
        <v>473</v>
      </c>
      <c r="D39" s="20" t="s">
        <v>89</v>
      </c>
      <c r="E39" s="20" t="s">
        <v>34</v>
      </c>
      <c r="F39" s="20" t="s">
        <v>35</v>
      </c>
      <c r="G39" s="20" t="s">
        <v>163</v>
      </c>
      <c r="H39" s="21">
        <v>44707.618425925917</v>
      </c>
      <c r="I39" s="22" t="s">
        <v>163</v>
      </c>
      <c r="J39" s="20" t="s">
        <v>163</v>
      </c>
      <c r="K39" s="19" t="s">
        <v>50</v>
      </c>
      <c r="L39" s="19"/>
      <c r="M39" s="19" t="s">
        <v>105</v>
      </c>
      <c r="N39" s="19" t="s">
        <v>51</v>
      </c>
      <c r="O39" s="19" t="s">
        <v>38</v>
      </c>
      <c r="P39" s="19" t="s">
        <v>38</v>
      </c>
      <c r="Q39" s="19" t="s">
        <v>38</v>
      </c>
      <c r="R39" s="19" t="s">
        <v>38</v>
      </c>
      <c r="S39" s="19" t="s">
        <v>38</v>
      </c>
      <c r="T39" s="19" t="s">
        <v>38</v>
      </c>
      <c r="U39" s="19" t="s">
        <v>39</v>
      </c>
      <c r="V39" s="19" t="s">
        <v>40</v>
      </c>
      <c r="W39" s="19" t="s">
        <v>37</v>
      </c>
      <c r="X39" s="19" t="s">
        <v>38</v>
      </c>
      <c r="Y39" s="19"/>
      <c r="Z39" s="19"/>
      <c r="AA39" s="23" t="s">
        <v>42</v>
      </c>
      <c r="AB39" s="23" t="s">
        <v>42</v>
      </c>
      <c r="AC39" s="23" t="s">
        <v>42</v>
      </c>
      <c r="AD39" s="23" t="s">
        <v>42</v>
      </c>
      <c r="AE39" s="23" t="s">
        <v>42</v>
      </c>
      <c r="AF39" s="23" t="s">
        <v>42</v>
      </c>
      <c r="AG39" s="23" t="s">
        <v>42</v>
      </c>
    </row>
    <row r="40" spans="1:33" ht="72" customHeight="1" x14ac:dyDescent="0.25">
      <c r="A40" s="19" t="s">
        <v>198</v>
      </c>
      <c r="B40" s="20" t="s">
        <v>180</v>
      </c>
      <c r="C40" s="20" t="s">
        <v>473</v>
      </c>
      <c r="D40" s="20" t="s">
        <v>90</v>
      </c>
      <c r="E40" s="20" t="s">
        <v>34</v>
      </c>
      <c r="F40" s="20" t="s">
        <v>35</v>
      </c>
      <c r="G40" s="20" t="s">
        <v>163</v>
      </c>
      <c r="H40" s="21">
        <v>44722.168819444443</v>
      </c>
      <c r="I40" s="22" t="s">
        <v>163</v>
      </c>
      <c r="J40" s="20" t="s">
        <v>163</v>
      </c>
      <c r="K40" s="19" t="s">
        <v>50</v>
      </c>
      <c r="L40" s="19"/>
      <c r="M40" s="19" t="s">
        <v>105</v>
      </c>
      <c r="N40" s="19" t="s">
        <v>51</v>
      </c>
      <c r="O40" s="19" t="s">
        <v>38</v>
      </c>
      <c r="P40" s="19" t="s">
        <v>38</v>
      </c>
      <c r="Q40" s="19" t="s">
        <v>38</v>
      </c>
      <c r="R40" s="19" t="s">
        <v>38</v>
      </c>
      <c r="S40" s="19" t="s">
        <v>38</v>
      </c>
      <c r="T40" s="19" t="s">
        <v>38</v>
      </c>
      <c r="U40" s="19" t="s">
        <v>39</v>
      </c>
      <c r="V40" s="19" t="s">
        <v>40</v>
      </c>
      <c r="W40" s="19" t="s">
        <v>37</v>
      </c>
      <c r="X40" s="19" t="s">
        <v>38</v>
      </c>
      <c r="Y40" s="19"/>
      <c r="Z40" s="19"/>
      <c r="AA40" s="23" t="s">
        <v>42</v>
      </c>
      <c r="AB40" s="23" t="s">
        <v>42</v>
      </c>
      <c r="AC40" s="23" t="s">
        <v>42</v>
      </c>
      <c r="AD40" s="23" t="s">
        <v>42</v>
      </c>
      <c r="AE40" s="23" t="s">
        <v>42</v>
      </c>
      <c r="AF40" s="23" t="s">
        <v>42</v>
      </c>
      <c r="AG40" s="23" t="s">
        <v>42</v>
      </c>
    </row>
    <row r="41" spans="1:33" ht="72" customHeight="1" x14ac:dyDescent="0.25">
      <c r="A41" s="19" t="s">
        <v>199</v>
      </c>
      <c r="B41" s="20" t="s">
        <v>180</v>
      </c>
      <c r="C41" s="20" t="s">
        <v>473</v>
      </c>
      <c r="D41" s="20" t="s">
        <v>91</v>
      </c>
      <c r="E41" s="20" t="s">
        <v>34</v>
      </c>
      <c r="F41" s="20" t="s">
        <v>35</v>
      </c>
      <c r="G41" s="20" t="s">
        <v>163</v>
      </c>
      <c r="H41" s="21">
        <v>44722.168819444443</v>
      </c>
      <c r="I41" s="22" t="s">
        <v>163</v>
      </c>
      <c r="J41" s="20" t="s">
        <v>163</v>
      </c>
      <c r="K41" s="19" t="s">
        <v>50</v>
      </c>
      <c r="L41" s="19"/>
      <c r="M41" s="19" t="s">
        <v>105</v>
      </c>
      <c r="N41" s="19" t="s">
        <v>51</v>
      </c>
      <c r="O41" s="19" t="s">
        <v>38</v>
      </c>
      <c r="P41" s="19" t="s">
        <v>38</v>
      </c>
      <c r="Q41" s="19" t="s">
        <v>38</v>
      </c>
      <c r="R41" s="19" t="s">
        <v>38</v>
      </c>
      <c r="S41" s="19" t="s">
        <v>38</v>
      </c>
      <c r="T41" s="19" t="s">
        <v>38</v>
      </c>
      <c r="U41" s="19" t="s">
        <v>39</v>
      </c>
      <c r="V41" s="19" t="s">
        <v>40</v>
      </c>
      <c r="W41" s="19" t="s">
        <v>37</v>
      </c>
      <c r="X41" s="19" t="s">
        <v>38</v>
      </c>
      <c r="Y41" s="19"/>
      <c r="Z41" s="19"/>
      <c r="AA41" s="23" t="s">
        <v>42</v>
      </c>
      <c r="AB41" s="23" t="s">
        <v>42</v>
      </c>
      <c r="AC41" s="23" t="s">
        <v>42</v>
      </c>
      <c r="AD41" s="23" t="s">
        <v>42</v>
      </c>
      <c r="AE41" s="23" t="s">
        <v>42</v>
      </c>
      <c r="AF41" s="23" t="s">
        <v>42</v>
      </c>
      <c r="AG41" s="23" t="s">
        <v>42</v>
      </c>
    </row>
    <row r="42" spans="1:33" ht="72" customHeight="1" x14ac:dyDescent="0.25">
      <c r="A42" s="19" t="s">
        <v>200</v>
      </c>
      <c r="B42" s="20" t="s">
        <v>180</v>
      </c>
      <c r="C42" s="20" t="s">
        <v>473</v>
      </c>
      <c r="D42" s="20" t="s">
        <v>92</v>
      </c>
      <c r="E42" s="20" t="s">
        <v>34</v>
      </c>
      <c r="F42" s="20" t="s">
        <v>35</v>
      </c>
      <c r="G42" s="20" t="s">
        <v>163</v>
      </c>
      <c r="H42" s="21">
        <v>44707.618425925917</v>
      </c>
      <c r="I42" s="22" t="s">
        <v>163</v>
      </c>
      <c r="J42" s="20" t="s">
        <v>163</v>
      </c>
      <c r="K42" s="19" t="s">
        <v>50</v>
      </c>
      <c r="L42" s="19"/>
      <c r="M42" s="19" t="s">
        <v>105</v>
      </c>
      <c r="N42" s="19" t="s">
        <v>51</v>
      </c>
      <c r="O42" s="19" t="s">
        <v>38</v>
      </c>
      <c r="P42" s="19" t="s">
        <v>38</v>
      </c>
      <c r="Q42" s="19" t="s">
        <v>38</v>
      </c>
      <c r="R42" s="19" t="s">
        <v>38</v>
      </c>
      <c r="S42" s="19" t="s">
        <v>38</v>
      </c>
      <c r="T42" s="19" t="s">
        <v>38</v>
      </c>
      <c r="U42" s="19" t="s">
        <v>39</v>
      </c>
      <c r="V42" s="19" t="s">
        <v>40</v>
      </c>
      <c r="W42" s="19" t="s">
        <v>37</v>
      </c>
      <c r="X42" s="19" t="s">
        <v>38</v>
      </c>
      <c r="Y42" s="19"/>
      <c r="Z42" s="19"/>
      <c r="AA42" s="23" t="s">
        <v>42</v>
      </c>
      <c r="AB42" s="23" t="s">
        <v>42</v>
      </c>
      <c r="AC42" s="23" t="s">
        <v>42</v>
      </c>
      <c r="AD42" s="23" t="s">
        <v>42</v>
      </c>
      <c r="AE42" s="23" t="s">
        <v>42</v>
      </c>
      <c r="AF42" s="23" t="s">
        <v>42</v>
      </c>
      <c r="AG42" s="23" t="s">
        <v>42</v>
      </c>
    </row>
    <row r="43" spans="1:33" ht="72" customHeight="1" x14ac:dyDescent="0.25">
      <c r="A43" s="19" t="s">
        <v>201</v>
      </c>
      <c r="B43" s="20" t="s">
        <v>180</v>
      </c>
      <c r="C43" s="20" t="s">
        <v>473</v>
      </c>
      <c r="D43" s="20" t="s">
        <v>93</v>
      </c>
      <c r="E43" s="20" t="s">
        <v>34</v>
      </c>
      <c r="F43" s="20" t="s">
        <v>35</v>
      </c>
      <c r="G43" s="20" t="s">
        <v>163</v>
      </c>
      <c r="H43" s="21">
        <v>44707.618425925917</v>
      </c>
      <c r="I43" s="22" t="s">
        <v>163</v>
      </c>
      <c r="J43" s="20" t="s">
        <v>163</v>
      </c>
      <c r="K43" s="19" t="s">
        <v>50</v>
      </c>
      <c r="L43" s="19"/>
      <c r="M43" s="19" t="s">
        <v>105</v>
      </c>
      <c r="N43" s="19" t="s">
        <v>51</v>
      </c>
      <c r="O43" s="19" t="s">
        <v>38</v>
      </c>
      <c r="P43" s="19" t="s">
        <v>38</v>
      </c>
      <c r="Q43" s="19" t="s">
        <v>38</v>
      </c>
      <c r="R43" s="19" t="s">
        <v>38</v>
      </c>
      <c r="S43" s="19" t="s">
        <v>38</v>
      </c>
      <c r="T43" s="19" t="s">
        <v>38</v>
      </c>
      <c r="U43" s="19" t="s">
        <v>39</v>
      </c>
      <c r="V43" s="19" t="s">
        <v>40</v>
      </c>
      <c r="W43" s="19" t="s">
        <v>37</v>
      </c>
      <c r="X43" s="19" t="s">
        <v>38</v>
      </c>
      <c r="Y43" s="19"/>
      <c r="Z43" s="19"/>
      <c r="AA43" s="23" t="s">
        <v>42</v>
      </c>
      <c r="AB43" s="23" t="s">
        <v>42</v>
      </c>
      <c r="AC43" s="23" t="s">
        <v>42</v>
      </c>
      <c r="AD43" s="23" t="s">
        <v>42</v>
      </c>
      <c r="AE43" s="23" t="s">
        <v>42</v>
      </c>
      <c r="AF43" s="23" t="s">
        <v>42</v>
      </c>
      <c r="AG43" s="23" t="s">
        <v>42</v>
      </c>
    </row>
    <row r="44" spans="1:33" ht="72" customHeight="1" x14ac:dyDescent="0.25">
      <c r="A44" s="19" t="s">
        <v>202</v>
      </c>
      <c r="B44" s="20" t="s">
        <v>180</v>
      </c>
      <c r="C44" s="20" t="s">
        <v>473</v>
      </c>
      <c r="D44" s="20" t="s">
        <v>94</v>
      </c>
      <c r="E44" s="20" t="s">
        <v>34</v>
      </c>
      <c r="F44" s="20" t="s">
        <v>35</v>
      </c>
      <c r="G44" s="20" t="s">
        <v>163</v>
      </c>
      <c r="H44" s="21">
        <v>44722.168819444443</v>
      </c>
      <c r="I44" s="22" t="s">
        <v>163</v>
      </c>
      <c r="J44" s="20" t="s">
        <v>163</v>
      </c>
      <c r="K44" s="19" t="s">
        <v>203</v>
      </c>
      <c r="L44" s="19" t="s">
        <v>37</v>
      </c>
      <c r="M44" s="19" t="s">
        <v>105</v>
      </c>
      <c r="N44" s="19" t="s">
        <v>51</v>
      </c>
      <c r="O44" s="19" t="s">
        <v>38</v>
      </c>
      <c r="P44" s="19" t="s">
        <v>38</v>
      </c>
      <c r="Q44" s="19" t="s">
        <v>38</v>
      </c>
      <c r="R44" s="19" t="s">
        <v>38</v>
      </c>
      <c r="S44" s="19" t="s">
        <v>38</v>
      </c>
      <c r="T44" s="19" t="s">
        <v>38</v>
      </c>
      <c r="U44" s="19" t="s">
        <v>39</v>
      </c>
      <c r="V44" s="19" t="s">
        <v>40</v>
      </c>
      <c r="W44" s="19" t="s">
        <v>37</v>
      </c>
      <c r="X44" s="19" t="s">
        <v>38</v>
      </c>
      <c r="Y44" s="19"/>
      <c r="Z44" s="19"/>
      <c r="AA44" s="23" t="s">
        <v>42</v>
      </c>
      <c r="AB44" s="23" t="s">
        <v>42</v>
      </c>
      <c r="AC44" s="23" t="s">
        <v>42</v>
      </c>
      <c r="AD44" s="23" t="s">
        <v>42</v>
      </c>
      <c r="AE44" s="23" t="s">
        <v>42</v>
      </c>
      <c r="AF44" s="23" t="s">
        <v>42</v>
      </c>
      <c r="AG44" s="23" t="s">
        <v>42</v>
      </c>
    </row>
    <row r="45" spans="1:33" ht="72" customHeight="1" x14ac:dyDescent="0.25">
      <c r="A45" s="19" t="s">
        <v>204</v>
      </c>
      <c r="B45" s="20" t="s">
        <v>180</v>
      </c>
      <c r="C45" s="20" t="s">
        <v>473</v>
      </c>
      <c r="D45" s="20" t="s">
        <v>95</v>
      </c>
      <c r="E45" s="20" t="s">
        <v>34</v>
      </c>
      <c r="F45" s="20" t="s">
        <v>35</v>
      </c>
      <c r="G45" s="20" t="s">
        <v>163</v>
      </c>
      <c r="H45" s="21">
        <v>44707.618425925917</v>
      </c>
      <c r="I45" s="22" t="s">
        <v>163</v>
      </c>
      <c r="J45" s="20" t="s">
        <v>163</v>
      </c>
      <c r="K45" s="19" t="s">
        <v>203</v>
      </c>
      <c r="L45" s="19" t="s">
        <v>37</v>
      </c>
      <c r="M45" s="19" t="s">
        <v>105</v>
      </c>
      <c r="N45" s="19" t="s">
        <v>51</v>
      </c>
      <c r="O45" s="19" t="s">
        <v>38</v>
      </c>
      <c r="P45" s="19" t="s">
        <v>38</v>
      </c>
      <c r="Q45" s="19" t="s">
        <v>38</v>
      </c>
      <c r="R45" s="19" t="s">
        <v>38</v>
      </c>
      <c r="S45" s="19" t="s">
        <v>38</v>
      </c>
      <c r="T45" s="19" t="s">
        <v>38</v>
      </c>
      <c r="U45" s="19" t="s">
        <v>39</v>
      </c>
      <c r="V45" s="19" t="s">
        <v>40</v>
      </c>
      <c r="W45" s="19" t="s">
        <v>37</v>
      </c>
      <c r="X45" s="19" t="s">
        <v>38</v>
      </c>
      <c r="Y45" s="19"/>
      <c r="Z45" s="19"/>
      <c r="AA45" s="23" t="s">
        <v>42</v>
      </c>
      <c r="AB45" s="23" t="s">
        <v>42</v>
      </c>
      <c r="AC45" s="23" t="s">
        <v>42</v>
      </c>
      <c r="AD45" s="23" t="s">
        <v>42</v>
      </c>
      <c r="AE45" s="23" t="s">
        <v>42</v>
      </c>
      <c r="AF45" s="23" t="s">
        <v>42</v>
      </c>
      <c r="AG45" s="23" t="s">
        <v>42</v>
      </c>
    </row>
    <row r="46" spans="1:33" ht="72" customHeight="1" x14ac:dyDescent="0.25">
      <c r="A46" s="19" t="s">
        <v>205</v>
      </c>
      <c r="B46" s="20" t="s">
        <v>180</v>
      </c>
      <c r="C46" s="20" t="s">
        <v>473</v>
      </c>
      <c r="D46" s="20" t="s">
        <v>96</v>
      </c>
      <c r="E46" s="20" t="s">
        <v>34</v>
      </c>
      <c r="F46" s="20" t="s">
        <v>35</v>
      </c>
      <c r="G46" s="20" t="s">
        <v>163</v>
      </c>
      <c r="H46" s="21">
        <v>44707.618425925917</v>
      </c>
      <c r="I46" s="22" t="s">
        <v>163</v>
      </c>
      <c r="J46" s="20" t="s">
        <v>163</v>
      </c>
      <c r="K46" s="19" t="s">
        <v>50</v>
      </c>
      <c r="L46" s="19"/>
      <c r="M46" s="19" t="s">
        <v>105</v>
      </c>
      <c r="N46" s="19" t="s">
        <v>51</v>
      </c>
      <c r="O46" s="19" t="s">
        <v>38</v>
      </c>
      <c r="P46" s="19" t="s">
        <v>38</v>
      </c>
      <c r="Q46" s="19" t="s">
        <v>38</v>
      </c>
      <c r="R46" s="19" t="s">
        <v>38</v>
      </c>
      <c r="S46" s="19" t="s">
        <v>38</v>
      </c>
      <c r="T46" s="19" t="s">
        <v>38</v>
      </c>
      <c r="U46" s="19" t="s">
        <v>39</v>
      </c>
      <c r="V46" s="19" t="s">
        <v>40</v>
      </c>
      <c r="W46" s="19" t="s">
        <v>37</v>
      </c>
      <c r="X46" s="19" t="s">
        <v>38</v>
      </c>
      <c r="Y46" s="19"/>
      <c r="Z46" s="19"/>
      <c r="AA46" s="23" t="s">
        <v>42</v>
      </c>
      <c r="AB46" s="23" t="s">
        <v>42</v>
      </c>
      <c r="AC46" s="23" t="s">
        <v>42</v>
      </c>
      <c r="AD46" s="23" t="s">
        <v>42</v>
      </c>
      <c r="AE46" s="23" t="s">
        <v>42</v>
      </c>
      <c r="AF46" s="23" t="s">
        <v>42</v>
      </c>
      <c r="AG46" s="23" t="s">
        <v>42</v>
      </c>
    </row>
    <row r="47" spans="1:33" ht="72" customHeight="1" x14ac:dyDescent="0.25">
      <c r="A47" s="19" t="s">
        <v>206</v>
      </c>
      <c r="B47" s="20" t="s">
        <v>180</v>
      </c>
      <c r="C47" s="20" t="s">
        <v>473</v>
      </c>
      <c r="D47" s="20" t="s">
        <v>97</v>
      </c>
      <c r="E47" s="20" t="s">
        <v>34</v>
      </c>
      <c r="F47" s="20" t="s">
        <v>35</v>
      </c>
      <c r="G47" s="20" t="s">
        <v>163</v>
      </c>
      <c r="H47" s="21">
        <v>44722.168819444443</v>
      </c>
      <c r="I47" s="22" t="s">
        <v>163</v>
      </c>
      <c r="J47" s="20" t="s">
        <v>163</v>
      </c>
      <c r="K47" s="19" t="s">
        <v>50</v>
      </c>
      <c r="L47" s="19"/>
      <c r="M47" s="19" t="s">
        <v>105</v>
      </c>
      <c r="N47" s="19" t="s">
        <v>51</v>
      </c>
      <c r="O47" s="19" t="s">
        <v>38</v>
      </c>
      <c r="P47" s="19" t="s">
        <v>38</v>
      </c>
      <c r="Q47" s="19" t="s">
        <v>38</v>
      </c>
      <c r="R47" s="19" t="s">
        <v>38</v>
      </c>
      <c r="S47" s="19" t="s">
        <v>38</v>
      </c>
      <c r="T47" s="19" t="s">
        <v>38</v>
      </c>
      <c r="U47" s="19" t="s">
        <v>39</v>
      </c>
      <c r="V47" s="19" t="s">
        <v>40</v>
      </c>
      <c r="W47" s="19" t="s">
        <v>37</v>
      </c>
      <c r="X47" s="19" t="s">
        <v>38</v>
      </c>
      <c r="Y47" s="19"/>
      <c r="Z47" s="19"/>
      <c r="AA47" s="23" t="s">
        <v>42</v>
      </c>
      <c r="AB47" s="23" t="s">
        <v>42</v>
      </c>
      <c r="AC47" s="23" t="s">
        <v>42</v>
      </c>
      <c r="AD47" s="23" t="s">
        <v>42</v>
      </c>
      <c r="AE47" s="23" t="s">
        <v>42</v>
      </c>
      <c r="AF47" s="23" t="s">
        <v>42</v>
      </c>
      <c r="AG47" s="23" t="s">
        <v>42</v>
      </c>
    </row>
    <row r="48" spans="1:33" ht="72" customHeight="1" x14ac:dyDescent="0.25">
      <c r="A48" s="19" t="s">
        <v>207</v>
      </c>
      <c r="B48" s="20" t="s">
        <v>180</v>
      </c>
      <c r="C48" s="20" t="s">
        <v>473</v>
      </c>
      <c r="D48" s="20" t="s">
        <v>98</v>
      </c>
      <c r="E48" s="20" t="s">
        <v>34</v>
      </c>
      <c r="F48" s="20" t="s">
        <v>35</v>
      </c>
      <c r="G48" s="20" t="s">
        <v>163</v>
      </c>
      <c r="H48" s="21">
        <v>44722.168819444443</v>
      </c>
      <c r="I48" s="22" t="s">
        <v>163</v>
      </c>
      <c r="J48" s="20" t="s">
        <v>163</v>
      </c>
      <c r="K48" s="19" t="s">
        <v>50</v>
      </c>
      <c r="L48" s="19"/>
      <c r="M48" s="19" t="s">
        <v>105</v>
      </c>
      <c r="N48" s="19" t="s">
        <v>51</v>
      </c>
      <c r="O48" s="19" t="s">
        <v>38</v>
      </c>
      <c r="P48" s="19" t="s">
        <v>38</v>
      </c>
      <c r="Q48" s="19" t="s">
        <v>38</v>
      </c>
      <c r="R48" s="19" t="s">
        <v>38</v>
      </c>
      <c r="S48" s="19" t="s">
        <v>38</v>
      </c>
      <c r="T48" s="19" t="s">
        <v>38</v>
      </c>
      <c r="U48" s="19" t="s">
        <v>39</v>
      </c>
      <c r="V48" s="19" t="s">
        <v>40</v>
      </c>
      <c r="W48" s="19" t="s">
        <v>37</v>
      </c>
      <c r="X48" s="19" t="s">
        <v>38</v>
      </c>
      <c r="Y48" s="19"/>
      <c r="Z48" s="19"/>
      <c r="AA48" s="23" t="s">
        <v>42</v>
      </c>
      <c r="AB48" s="23" t="s">
        <v>42</v>
      </c>
      <c r="AC48" s="23" t="s">
        <v>42</v>
      </c>
      <c r="AD48" s="23" t="s">
        <v>42</v>
      </c>
      <c r="AE48" s="23" t="s">
        <v>42</v>
      </c>
      <c r="AF48" s="23" t="s">
        <v>42</v>
      </c>
      <c r="AG48" s="23" t="s">
        <v>42</v>
      </c>
    </row>
    <row r="49" spans="1:33" ht="72" customHeight="1" x14ac:dyDescent="0.25">
      <c r="A49" s="19" t="s">
        <v>208</v>
      </c>
      <c r="B49" s="20" t="s">
        <v>209</v>
      </c>
      <c r="C49" s="20" t="s">
        <v>477</v>
      </c>
      <c r="D49" s="20" t="s">
        <v>210</v>
      </c>
      <c r="E49" s="20" t="s">
        <v>34</v>
      </c>
      <c r="F49" s="20" t="s">
        <v>35</v>
      </c>
      <c r="G49" s="20" t="s">
        <v>163</v>
      </c>
      <c r="H49" s="21">
        <v>44712.378148148149</v>
      </c>
      <c r="I49" s="22" t="s">
        <v>163</v>
      </c>
      <c r="J49" s="20" t="s">
        <v>163</v>
      </c>
      <c r="K49" s="19" t="s">
        <v>50</v>
      </c>
      <c r="L49" s="19"/>
      <c r="M49" s="19" t="s">
        <v>105</v>
      </c>
      <c r="N49" s="19" t="s">
        <v>51</v>
      </c>
      <c r="O49" s="19" t="s">
        <v>38</v>
      </c>
      <c r="P49" s="19" t="s">
        <v>38</v>
      </c>
      <c r="Q49" s="19" t="s">
        <v>38</v>
      </c>
      <c r="R49" s="19" t="s">
        <v>38</v>
      </c>
      <c r="S49" s="19" t="s">
        <v>38</v>
      </c>
      <c r="T49" s="19" t="s">
        <v>38</v>
      </c>
      <c r="U49" s="19" t="s">
        <v>39</v>
      </c>
      <c r="V49" s="19" t="s">
        <v>40</v>
      </c>
      <c r="W49" s="19" t="s">
        <v>37</v>
      </c>
      <c r="X49" s="19" t="s">
        <v>38</v>
      </c>
      <c r="Y49" s="19"/>
      <c r="Z49" s="19"/>
      <c r="AA49" s="23" t="s">
        <v>42</v>
      </c>
      <c r="AB49" s="23" t="s">
        <v>42</v>
      </c>
      <c r="AC49" s="23" t="s">
        <v>42</v>
      </c>
      <c r="AD49" s="23" t="s">
        <v>42</v>
      </c>
      <c r="AE49" s="23" t="s">
        <v>42</v>
      </c>
      <c r="AF49" s="23" t="s">
        <v>42</v>
      </c>
      <c r="AG49" s="23" t="s">
        <v>42</v>
      </c>
    </row>
    <row r="50" spans="1:33" ht="72" customHeight="1" x14ac:dyDescent="0.25">
      <c r="A50" s="19" t="s">
        <v>211</v>
      </c>
      <c r="B50" s="20" t="s">
        <v>209</v>
      </c>
      <c r="C50" s="20" t="s">
        <v>477</v>
      </c>
      <c r="D50" s="20" t="s">
        <v>212</v>
      </c>
      <c r="E50" s="20" t="s">
        <v>34</v>
      </c>
      <c r="F50" s="20" t="s">
        <v>35</v>
      </c>
      <c r="G50" s="20" t="s">
        <v>163</v>
      </c>
      <c r="H50" s="21">
        <v>44712.378101851849</v>
      </c>
      <c r="I50" s="22" t="s">
        <v>163</v>
      </c>
      <c r="J50" s="20" t="s">
        <v>163</v>
      </c>
      <c r="K50" s="19" t="s">
        <v>50</v>
      </c>
      <c r="L50" s="19"/>
      <c r="M50" s="19" t="s">
        <v>105</v>
      </c>
      <c r="N50" s="19" t="s">
        <v>51</v>
      </c>
      <c r="O50" s="19" t="s">
        <v>38</v>
      </c>
      <c r="P50" s="19" t="s">
        <v>38</v>
      </c>
      <c r="Q50" s="19" t="s">
        <v>38</v>
      </c>
      <c r="R50" s="19" t="s">
        <v>38</v>
      </c>
      <c r="S50" s="19" t="s">
        <v>38</v>
      </c>
      <c r="T50" s="19" t="s">
        <v>38</v>
      </c>
      <c r="U50" s="19" t="s">
        <v>39</v>
      </c>
      <c r="V50" s="19" t="s">
        <v>40</v>
      </c>
      <c r="W50" s="19" t="s">
        <v>37</v>
      </c>
      <c r="X50" s="19" t="s">
        <v>38</v>
      </c>
      <c r="Y50" s="19"/>
      <c r="Z50" s="19"/>
      <c r="AA50" s="23" t="s">
        <v>42</v>
      </c>
      <c r="AB50" s="23" t="s">
        <v>42</v>
      </c>
      <c r="AC50" s="23" t="s">
        <v>42</v>
      </c>
      <c r="AD50" s="23" t="s">
        <v>42</v>
      </c>
      <c r="AE50" s="23" t="s">
        <v>42</v>
      </c>
      <c r="AF50" s="23" t="s">
        <v>42</v>
      </c>
      <c r="AG50" s="23" t="s">
        <v>42</v>
      </c>
    </row>
    <row r="51" spans="1:33" ht="72" customHeight="1" x14ac:dyDescent="0.25">
      <c r="A51" s="19" t="s">
        <v>213</v>
      </c>
      <c r="B51" s="20" t="s">
        <v>209</v>
      </c>
      <c r="C51" s="20" t="s">
        <v>477</v>
      </c>
      <c r="D51" s="20" t="s">
        <v>214</v>
      </c>
      <c r="E51" s="20" t="s">
        <v>34</v>
      </c>
      <c r="F51" s="20" t="s">
        <v>35</v>
      </c>
      <c r="G51" s="20" t="s">
        <v>163</v>
      </c>
      <c r="H51" s="21">
        <v>44712.378101851849</v>
      </c>
      <c r="I51" s="22" t="s">
        <v>163</v>
      </c>
      <c r="J51" s="20" t="s">
        <v>163</v>
      </c>
      <c r="K51" s="19" t="s">
        <v>50</v>
      </c>
      <c r="L51" s="19"/>
      <c r="M51" s="19" t="s">
        <v>105</v>
      </c>
      <c r="N51" s="19" t="s">
        <v>51</v>
      </c>
      <c r="O51" s="19" t="s">
        <v>38</v>
      </c>
      <c r="P51" s="19" t="s">
        <v>38</v>
      </c>
      <c r="Q51" s="19" t="s">
        <v>38</v>
      </c>
      <c r="R51" s="19" t="s">
        <v>38</v>
      </c>
      <c r="S51" s="19" t="s">
        <v>38</v>
      </c>
      <c r="T51" s="19" t="s">
        <v>38</v>
      </c>
      <c r="U51" s="19" t="s">
        <v>39</v>
      </c>
      <c r="V51" s="19" t="s">
        <v>40</v>
      </c>
      <c r="W51" s="19" t="s">
        <v>37</v>
      </c>
      <c r="X51" s="19" t="s">
        <v>38</v>
      </c>
      <c r="Y51" s="19"/>
      <c r="Z51" s="19"/>
      <c r="AA51" s="23" t="s">
        <v>42</v>
      </c>
      <c r="AB51" s="23" t="s">
        <v>42</v>
      </c>
      <c r="AC51" s="23" t="s">
        <v>42</v>
      </c>
      <c r="AD51" s="23" t="s">
        <v>42</v>
      </c>
      <c r="AE51" s="23" t="s">
        <v>42</v>
      </c>
      <c r="AF51" s="23" t="s">
        <v>42</v>
      </c>
      <c r="AG51" s="23" t="s">
        <v>42</v>
      </c>
    </row>
    <row r="52" spans="1:33" ht="72" customHeight="1" x14ac:dyDescent="0.25">
      <c r="A52" s="19" t="s">
        <v>215</v>
      </c>
      <c r="B52" s="20" t="s">
        <v>209</v>
      </c>
      <c r="C52" s="20" t="s">
        <v>477</v>
      </c>
      <c r="D52" s="20" t="s">
        <v>216</v>
      </c>
      <c r="E52" s="20" t="s">
        <v>34</v>
      </c>
      <c r="F52" s="20" t="s">
        <v>35</v>
      </c>
      <c r="G52" s="20" t="s">
        <v>163</v>
      </c>
      <c r="H52" s="21">
        <v>44712.378101851849</v>
      </c>
      <c r="I52" s="22" t="s">
        <v>163</v>
      </c>
      <c r="J52" s="20" t="s">
        <v>163</v>
      </c>
      <c r="K52" s="19" t="s">
        <v>50</v>
      </c>
      <c r="L52" s="19"/>
      <c r="M52" s="19" t="s">
        <v>105</v>
      </c>
      <c r="N52" s="19" t="s">
        <v>51</v>
      </c>
      <c r="O52" s="19" t="s">
        <v>38</v>
      </c>
      <c r="P52" s="19" t="s">
        <v>38</v>
      </c>
      <c r="Q52" s="19" t="s">
        <v>38</v>
      </c>
      <c r="R52" s="19" t="s">
        <v>38</v>
      </c>
      <c r="S52" s="19" t="s">
        <v>38</v>
      </c>
      <c r="T52" s="19" t="s">
        <v>38</v>
      </c>
      <c r="U52" s="19" t="s">
        <v>39</v>
      </c>
      <c r="V52" s="19" t="s">
        <v>40</v>
      </c>
      <c r="W52" s="19" t="s">
        <v>37</v>
      </c>
      <c r="X52" s="19" t="s">
        <v>38</v>
      </c>
      <c r="Y52" s="19"/>
      <c r="Z52" s="19"/>
      <c r="AA52" s="23" t="s">
        <v>42</v>
      </c>
      <c r="AB52" s="23" t="s">
        <v>42</v>
      </c>
      <c r="AC52" s="23" t="s">
        <v>42</v>
      </c>
      <c r="AD52" s="23" t="s">
        <v>42</v>
      </c>
      <c r="AE52" s="23" t="s">
        <v>42</v>
      </c>
      <c r="AF52" s="23" t="s">
        <v>42</v>
      </c>
      <c r="AG52" s="23" t="s">
        <v>42</v>
      </c>
    </row>
    <row r="53" spans="1:33" ht="72" customHeight="1" x14ac:dyDescent="0.25">
      <c r="A53" s="19" t="s">
        <v>218</v>
      </c>
      <c r="B53" s="20" t="s">
        <v>219</v>
      </c>
      <c r="C53" s="20" t="s">
        <v>334</v>
      </c>
      <c r="D53" s="20" t="s">
        <v>220</v>
      </c>
      <c r="E53" s="20" t="s">
        <v>55</v>
      </c>
      <c r="F53" s="20" t="s">
        <v>35</v>
      </c>
      <c r="G53" s="20" t="s">
        <v>163</v>
      </c>
      <c r="H53" s="21" t="s">
        <v>163</v>
      </c>
      <c r="I53" s="22" t="s">
        <v>163</v>
      </c>
      <c r="J53" s="20" t="s">
        <v>163</v>
      </c>
      <c r="K53" s="19" t="s">
        <v>50</v>
      </c>
      <c r="L53" s="15"/>
      <c r="M53" s="19" t="s">
        <v>105</v>
      </c>
      <c r="N53" s="19" t="s">
        <v>51</v>
      </c>
      <c r="O53" s="19" t="s">
        <v>38</v>
      </c>
      <c r="P53" s="19" t="s">
        <v>38</v>
      </c>
      <c r="Q53" s="19" t="s">
        <v>38</v>
      </c>
      <c r="R53" s="19" t="s">
        <v>38</v>
      </c>
      <c r="S53" s="19" t="s">
        <v>38</v>
      </c>
      <c r="T53" s="19" t="s">
        <v>38</v>
      </c>
      <c r="U53" s="19" t="s">
        <v>39</v>
      </c>
      <c r="V53" s="19" t="s">
        <v>40</v>
      </c>
      <c r="W53" s="19" t="s">
        <v>37</v>
      </c>
      <c r="X53" s="19" t="s">
        <v>38</v>
      </c>
      <c r="Y53" s="19"/>
      <c r="Z53" s="19"/>
      <c r="AA53" s="23" t="s">
        <v>42</v>
      </c>
      <c r="AB53" s="23" t="s">
        <v>42</v>
      </c>
      <c r="AC53" s="23" t="s">
        <v>42</v>
      </c>
      <c r="AD53" s="23" t="s">
        <v>42</v>
      </c>
      <c r="AE53" s="23" t="s">
        <v>42</v>
      </c>
      <c r="AF53" s="23" t="s">
        <v>42</v>
      </c>
      <c r="AG53" s="23" t="s">
        <v>42</v>
      </c>
    </row>
    <row r="54" spans="1:33" ht="72" customHeight="1" x14ac:dyDescent="0.25">
      <c r="A54" s="19" t="s">
        <v>221</v>
      </c>
      <c r="B54" s="20" t="s">
        <v>219</v>
      </c>
      <c r="C54" s="20" t="s">
        <v>334</v>
      </c>
      <c r="D54" s="20" t="s">
        <v>222</v>
      </c>
      <c r="E54" s="20" t="s">
        <v>55</v>
      </c>
      <c r="F54" s="20" t="s">
        <v>35</v>
      </c>
      <c r="G54" s="20" t="s">
        <v>163</v>
      </c>
      <c r="H54" s="21" t="s">
        <v>163</v>
      </c>
      <c r="I54" s="22" t="s">
        <v>163</v>
      </c>
      <c r="J54" s="20" t="s">
        <v>163</v>
      </c>
      <c r="K54" s="19" t="s">
        <v>50</v>
      </c>
      <c r="L54" s="15"/>
      <c r="M54" s="19" t="s">
        <v>105</v>
      </c>
      <c r="N54" s="19" t="s">
        <v>51</v>
      </c>
      <c r="O54" s="19" t="s">
        <v>38</v>
      </c>
      <c r="P54" s="19" t="s">
        <v>38</v>
      </c>
      <c r="Q54" s="19" t="s">
        <v>38</v>
      </c>
      <c r="R54" s="19" t="s">
        <v>38</v>
      </c>
      <c r="S54" s="19" t="s">
        <v>38</v>
      </c>
      <c r="T54" s="19" t="s">
        <v>38</v>
      </c>
      <c r="U54" s="19" t="s">
        <v>39</v>
      </c>
      <c r="V54" s="19" t="s">
        <v>40</v>
      </c>
      <c r="W54" s="19" t="s">
        <v>37</v>
      </c>
      <c r="X54" s="19" t="s">
        <v>38</v>
      </c>
      <c r="Y54" s="19"/>
      <c r="Z54" s="19"/>
      <c r="AA54" s="23" t="s">
        <v>42</v>
      </c>
      <c r="AB54" s="23" t="s">
        <v>42</v>
      </c>
      <c r="AC54" s="23" t="s">
        <v>42</v>
      </c>
      <c r="AD54" s="23" t="s">
        <v>42</v>
      </c>
      <c r="AE54" s="23" t="s">
        <v>42</v>
      </c>
      <c r="AF54" s="23" t="s">
        <v>42</v>
      </c>
      <c r="AG54" s="23" t="s">
        <v>42</v>
      </c>
    </row>
    <row r="55" spans="1:33" ht="72" customHeight="1" x14ac:dyDescent="0.25">
      <c r="A55" s="19" t="s">
        <v>225</v>
      </c>
      <c r="B55" s="20" t="s">
        <v>226</v>
      </c>
      <c r="C55" s="20" t="s">
        <v>480</v>
      </c>
      <c r="D55" s="20" t="s">
        <v>227</v>
      </c>
      <c r="E55" s="20" t="s">
        <v>34</v>
      </c>
      <c r="F55" s="20" t="s">
        <v>35</v>
      </c>
      <c r="G55" s="20" t="s">
        <v>163</v>
      </c>
      <c r="H55" s="21" t="s">
        <v>163</v>
      </c>
      <c r="I55" s="22" t="s">
        <v>163</v>
      </c>
      <c r="J55" s="20" t="s">
        <v>163</v>
      </c>
      <c r="K55" s="19" t="s">
        <v>50</v>
      </c>
      <c r="L55" s="15"/>
      <c r="M55" s="19" t="s">
        <v>105</v>
      </c>
      <c r="N55" s="19" t="s">
        <v>51</v>
      </c>
      <c r="O55" s="19" t="s">
        <v>38</v>
      </c>
      <c r="P55" s="19" t="s">
        <v>38</v>
      </c>
      <c r="Q55" s="19" t="s">
        <v>38</v>
      </c>
      <c r="R55" s="19" t="s">
        <v>38</v>
      </c>
      <c r="S55" s="19" t="s">
        <v>38</v>
      </c>
      <c r="T55" s="19" t="s">
        <v>38</v>
      </c>
      <c r="U55" s="19" t="s">
        <v>39</v>
      </c>
      <c r="V55" s="19" t="s">
        <v>40</v>
      </c>
      <c r="W55" s="19" t="s">
        <v>37</v>
      </c>
      <c r="X55" s="19" t="s">
        <v>38</v>
      </c>
      <c r="Y55" s="19"/>
      <c r="Z55" s="19"/>
      <c r="AA55" s="23" t="s">
        <v>42</v>
      </c>
      <c r="AB55" s="23" t="s">
        <v>42</v>
      </c>
      <c r="AC55" s="23" t="s">
        <v>42</v>
      </c>
      <c r="AD55" s="23" t="s">
        <v>42</v>
      </c>
      <c r="AE55" s="23" t="s">
        <v>42</v>
      </c>
      <c r="AF55" s="23" t="s">
        <v>42</v>
      </c>
      <c r="AG55" s="23" t="s">
        <v>42</v>
      </c>
    </row>
    <row r="56" spans="1:33" ht="72" customHeight="1" x14ac:dyDescent="0.25">
      <c r="A56" s="19" t="s">
        <v>228</v>
      </c>
      <c r="B56" s="20" t="s">
        <v>226</v>
      </c>
      <c r="C56" s="20" t="s">
        <v>480</v>
      </c>
      <c r="D56" s="20" t="s">
        <v>229</v>
      </c>
      <c r="E56" s="20" t="s">
        <v>34</v>
      </c>
      <c r="F56" s="20" t="s">
        <v>35</v>
      </c>
      <c r="G56" s="20" t="s">
        <v>163</v>
      </c>
      <c r="H56" s="21" t="s">
        <v>163</v>
      </c>
      <c r="I56" s="22" t="s">
        <v>163</v>
      </c>
      <c r="J56" s="20" t="s">
        <v>163</v>
      </c>
      <c r="K56" s="19" t="s">
        <v>50</v>
      </c>
      <c r="L56" s="15"/>
      <c r="M56" s="19" t="s">
        <v>105</v>
      </c>
      <c r="N56" s="19" t="s">
        <v>51</v>
      </c>
      <c r="O56" s="19" t="s">
        <v>38</v>
      </c>
      <c r="P56" s="19" t="s">
        <v>38</v>
      </c>
      <c r="Q56" s="19" t="s">
        <v>38</v>
      </c>
      <c r="R56" s="19" t="s">
        <v>38</v>
      </c>
      <c r="S56" s="19" t="s">
        <v>38</v>
      </c>
      <c r="T56" s="19" t="s">
        <v>38</v>
      </c>
      <c r="U56" s="19" t="s">
        <v>39</v>
      </c>
      <c r="V56" s="19" t="s">
        <v>40</v>
      </c>
      <c r="W56" s="19" t="s">
        <v>37</v>
      </c>
      <c r="X56" s="19" t="s">
        <v>38</v>
      </c>
      <c r="Y56" s="19"/>
      <c r="Z56" s="19"/>
      <c r="AA56" s="23" t="s">
        <v>42</v>
      </c>
      <c r="AB56" s="23" t="s">
        <v>42</v>
      </c>
      <c r="AC56" s="23" t="s">
        <v>42</v>
      </c>
      <c r="AD56" s="23" t="s">
        <v>42</v>
      </c>
      <c r="AE56" s="23" t="s">
        <v>42</v>
      </c>
      <c r="AF56" s="23" t="s">
        <v>42</v>
      </c>
      <c r="AG56" s="23" t="s">
        <v>42</v>
      </c>
    </row>
  </sheetData>
  <autoFilter ref="A1:AH56" xr:uid="{00000000-0009-0000-0000-000004000000}"/>
  <conditionalFormatting sqref="V2:V56">
    <cfRule type="expression" dxfId="5" priority="9">
      <formula>V2="TBD"</formula>
    </cfRule>
  </conditionalFormatting>
  <conditionalFormatting sqref="W2:W56">
    <cfRule type="expression" dxfId="4" priority="6">
      <formula>W2="Low"</formula>
    </cfRule>
    <cfRule type="expression" dxfId="3" priority="7">
      <formula>W2="Medium"</formula>
    </cfRule>
    <cfRule type="expression" dxfId="2" priority="8">
      <formula>W2="High"</formula>
    </cfRule>
  </conditionalFormatting>
  <conditionalFormatting sqref="AA2:AG56">
    <cfRule type="expression" dxfId="1" priority="10">
      <formula>AA2="Not Assessed"</formula>
    </cfRule>
    <cfRule type="expression" dxfId="0" priority="11">
      <formula>AND(AA2&lt;&gt;"",AA2&lt;&gt;"Not Assessed")</formula>
    </cfRule>
  </conditionalFormatting>
  <dataValidations count="8"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B2:B276" xr:uid="{00000000-0002-0000-0400-000000000000}">
      <formula1>ServerIDs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K2:K276" xr:uid="{00000000-0002-0000-0400-000001000000}">
      <formula1>EnvironmentList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L2:L276" xr:uid="{00000000-0002-0000-0400-000002000000}">
      <formula1>CriticalityList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O2:O276" xr:uid="{00000000-0002-0000-0400-000003000000}">
      <formula1>UsageStatusList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U2:U276" xr:uid="{00000000-0002-0000-0400-000004000000}">
      <formula1>AssessmentStatusList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V2:V276" xr:uid="{00000000-0002-0000-0400-000005000000}">
      <formula1>DispositionList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W2:W276" xr:uid="{00000000-0002-0000-0400-000006000000}">
      <formula1>ConfidenceList</formula1>
      <formula2>0</formula2>
    </dataValidation>
    <dataValidation type="list" allowBlank="1" showInputMessage="1" showErrorMessage="1" errorTitle="Invalid value" error="Select a value from the controlled list." promptTitle="Controlled value" prompt="Use the dropdown or update Lists (Config) if a new controlled value is required." sqref="X2:X276" xr:uid="{00000000-0002-0000-0400-000007000000}">
      <formula1>DiscoverySourceList</formula1>
      <formula2>0</formula2>
    </dataValidation>
  </dataValidations>
  <pageMargins left="0.7" right="0.7" top="0.75" bottom="0.75" header="0.511811023622047" footer="0.511811023622047"/>
  <pageSetup fitToHeight="0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6B04A50C40B40A1A0B0CC1C36A67F" ma:contentTypeVersion="9" ma:contentTypeDescription="Create a new document." ma:contentTypeScope="" ma:versionID="ef25692c8fac70007ba7cff043ea8264">
  <xsd:schema xmlns:xsd="http://www.w3.org/2001/XMLSchema" xmlns:xs="http://www.w3.org/2001/XMLSchema" xmlns:p="http://schemas.microsoft.com/office/2006/metadata/properties" xmlns:ns2="30eb1f16-4829-47c6-bdd4-239c6b1de1a9" targetNamespace="http://schemas.microsoft.com/office/2006/metadata/properties" ma:root="true" ma:fieldsID="f75593d3df8df09d138d563b6b56b5b4" ns2:_="">
    <xsd:import namespace="30eb1f16-4829-47c6-bdd4-239c6b1de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1f16-4829-47c6-bdd4-239c6b1de1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eb1f16-4829-47c6-bdd4-239c6b1de1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118BD0-8200-474A-A307-4B4ED3D3E9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B29E65-23F6-4E60-8BC2-9B6FB3BA7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b1f16-4829-47c6-bdd4-239c6b1de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D6D903-ED33-4B46-A2E1-E59EF9432321}">
  <ds:schemaRefs>
    <ds:schemaRef ds:uri="http://schemas.microsoft.com/office/2006/metadata/properties"/>
    <ds:schemaRef ds:uri="http://schemas.microsoft.com/office/infopath/2007/PartnerControls"/>
    <ds:schemaRef ds:uri="30eb1f16-4829-47c6-bdd4-239c6b1de1a9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Lists (Config)</vt:lpstr>
      <vt:lpstr>2. Servers</vt:lpstr>
      <vt:lpstr>3. Databases</vt:lpstr>
      <vt:lpstr>AccessLevelList</vt:lpstr>
      <vt:lpstr>AssessmentStatusList</vt:lpstr>
      <vt:lpstr>ConfidenceList</vt:lpstr>
      <vt:lpstr>CriticalityList</vt:lpstr>
      <vt:lpstr>DiscoverySourceList</vt:lpstr>
      <vt:lpstr>DispositionList</vt:lpstr>
      <vt:lpstr>EnvironmentList</vt:lpstr>
      <vt:lpstr>HADRList</vt:lpstr>
      <vt:lpstr>'3. Databases'!Print_Titles</vt:lpstr>
      <vt:lpstr>ServerIDs</vt:lpstr>
      <vt:lpstr>SupportStatusList</vt:lpstr>
      <vt:lpstr>TechnicalReviewList</vt:lpstr>
      <vt:lpstr>UsageStatusList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Bradesco SQL Assessment v15 - Normalized Assessment</dc:title>
  <dc:subject>Database assessment updated with Caddiel Campos technical owner workbook</dc:subject>
  <dc:creator>openpyxl</dc:creator>
  <cp:lastModifiedBy>_Gustavo Flores</cp:lastModifiedBy>
  <dcterms:created xsi:type="dcterms:W3CDTF">2026-08-06T20:57:11Z</dcterms:created>
  <dcterms:modified xsi:type="dcterms:W3CDTF">2026-08-07T18:46:10Z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0x0101003BA6B04A50C40B40A1A0B0CC1C36A67F</vt:lpwstr>
  </property>
  <property fmtid="{D5CDD505-2E9C-101B-9397-08002B2CF9AE}" pid="3" name="MediaServiceImageTags">
    <vt:lpwstr/>
  </property>
</Properties>
</file>